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2"/>
  <workbookPr codeName="ThisWorkbook" defaultThemeVersion="202300"/>
  <mc:AlternateContent xmlns:mc="http://schemas.openxmlformats.org/markup-compatibility/2006">
    <mc:Choice Requires="x15">
      <x15ac:absPath xmlns:x15ac="http://schemas.microsoft.com/office/spreadsheetml/2010/11/ac" url="/Users/dmork/Documents/GitHub/C40_EQuiPD/www/"/>
    </mc:Choice>
  </mc:AlternateContent>
  <xr:revisionPtr revIDLastSave="0" documentId="13_ncr:1_{86DE08D6-D6D5-C242-A6EE-25F8E8944711}" xr6:coauthVersionLast="47" xr6:coauthVersionMax="47" xr10:uidLastSave="{00000000-0000-0000-0000-000000000000}"/>
  <bookViews>
    <workbookView xWindow="4080" yWindow="500" windowWidth="30240" windowHeight="17880" xr2:uid="{30BB5428-C633-D247-A3EC-BE7DB74FA751}"/>
  </bookViews>
  <sheets>
    <sheet name="Before you start" sheetId="10" r:id="rId1"/>
    <sheet name="Self-Assessment" sheetId="1" r:id="rId2"/>
    <sheet name="Scoring" sheetId="2" r:id="rId3"/>
    <sheet name="Recommendations" sheetId="9" r:id="rId4"/>
    <sheet name="Definitions" sheetId="4" r:id="rId5"/>
    <sheet name="c40_cities" sheetId="6" r:id="rId6"/>
    <sheet name="org_detail" sheetId="5" r:id="rId7"/>
    <sheet name="QCount" sheetId="7" r:id="rId8"/>
    <sheet name="scoring_table" sheetId="8" r:id="rId9"/>
  </sheets>
  <definedNames>
    <definedName name="_xlnm._FilterDatabase" localSheetId="5" hidden="1">'c40_cities'!$A$1:$C$1</definedName>
    <definedName name="_xlnm._FilterDatabase" localSheetId="7" hidden="1">QCount!$C$54:$E$57</definedName>
    <definedName name="_xlnm._FilterDatabase" localSheetId="3" hidden="1">Recommendations!$B$7:$U$95</definedName>
    <definedName name="_xlnm._FilterDatabase" localSheetId="2" hidden="1">Scoring!$C$70:$E$73</definedName>
    <definedName name="_xlnm.Print_Area" localSheetId="0">'Before you start'!$C$3:$H$41</definedName>
    <definedName name="_xlnm.Print_Area" localSheetId="4">Definitions!$A$1:$CX$42</definedName>
    <definedName name="_xlnm.Print_Area" localSheetId="7">QCount!$A:$F</definedName>
    <definedName name="_xlnm.Print_Area" localSheetId="3">Recommendations!$A:$H</definedName>
    <definedName name="_xlnm.Print_Area" localSheetId="2">Scoring!$A:$G</definedName>
    <definedName name="_xlnm.Print_Area" localSheetId="1">'Self-Assessment'!$A:$G</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9" l="1"/>
  <c r="B53" i="2"/>
  <c r="B30" i="2"/>
  <c r="B7" i="2"/>
  <c r="B5" i="2"/>
  <c r="D95" i="9" l="1"/>
  <c r="D94" i="9"/>
  <c r="D93" i="9"/>
  <c r="D89" i="9"/>
  <c r="D88" i="9"/>
  <c r="D92" i="9"/>
  <c r="D91" i="9"/>
  <c r="D87" i="9"/>
  <c r="D90" i="9"/>
  <c r="D86" i="9"/>
  <c r="D85" i="9"/>
  <c r="D84" i="9"/>
  <c r="D81" i="9"/>
  <c r="D80" i="9"/>
  <c r="D73" i="9"/>
  <c r="D72" i="9"/>
  <c r="D71" i="9"/>
  <c r="D70" i="9"/>
  <c r="D69" i="9"/>
  <c r="D68" i="9"/>
  <c r="D79" i="9"/>
  <c r="D67" i="9"/>
  <c r="D66" i="9"/>
  <c r="D78" i="9"/>
  <c r="D77" i="9"/>
  <c r="D76" i="9"/>
  <c r="D75" i="9"/>
  <c r="D65" i="9"/>
  <c r="D64" i="9"/>
  <c r="D74" i="9"/>
  <c r="D63" i="9"/>
  <c r="D60" i="9"/>
  <c r="D58" i="9"/>
  <c r="D59" i="9"/>
  <c r="D57" i="9"/>
  <c r="D56" i="9"/>
  <c r="D55" i="9"/>
  <c r="D54" i="9"/>
  <c r="D53" i="9"/>
  <c r="D52" i="9"/>
  <c r="D42" i="9"/>
  <c r="D49" i="9"/>
  <c r="D41" i="9"/>
  <c r="D40" i="9"/>
  <c r="D48" i="9"/>
  <c r="D47" i="9"/>
  <c r="D46" i="9"/>
  <c r="D45" i="9"/>
  <c r="D44" i="9"/>
  <c r="D39" i="9"/>
  <c r="D43" i="9"/>
  <c r="D38" i="9"/>
  <c r="D37" i="9"/>
  <c r="D36" i="9"/>
  <c r="D35" i="9"/>
  <c r="D21" i="9"/>
  <c r="D20" i="9"/>
  <c r="D32" i="9"/>
  <c r="D19" i="9"/>
  <c r="D18" i="9"/>
  <c r="D31" i="9"/>
  <c r="D30" i="9"/>
  <c r="D29" i="9"/>
  <c r="D17" i="9"/>
  <c r="D28" i="9"/>
  <c r="D16" i="9"/>
  <c r="D15" i="9"/>
  <c r="D14" i="9"/>
  <c r="D13" i="9"/>
  <c r="D27" i="9"/>
  <c r="D26" i="9"/>
  <c r="D11" i="9"/>
  <c r="D25" i="9"/>
  <c r="D12" i="9"/>
  <c r="D24" i="9"/>
  <c r="D10" i="9"/>
  <c r="D9" i="9"/>
  <c r="D23" i="9"/>
  <c r="D22" i="9"/>
  <c r="D8" i="9"/>
  <c r="B8" i="9"/>
  <c r="B9" i="9" s="1"/>
  <c r="B10" i="9" s="1"/>
  <c r="B11" i="9" s="1"/>
  <c r="B12" i="9" s="1"/>
  <c r="B13" i="9" s="1"/>
  <c r="B14" i="9" s="1"/>
  <c r="B15" i="9" s="1"/>
  <c r="B16" i="9" s="1"/>
  <c r="B17" i="9" s="1"/>
  <c r="B18" i="9" s="1"/>
  <c r="B19" i="9" s="1"/>
  <c r="B20" i="9" s="1"/>
  <c r="B21" i="9" s="1"/>
  <c r="B22" i="9" s="1"/>
  <c r="B23" i="9" s="1"/>
  <c r="B24" i="9" s="1"/>
  <c r="B25" i="9" s="1"/>
  <c r="B26" i="9" s="1"/>
  <c r="B27" i="9" s="1"/>
  <c r="B28" i="9" s="1"/>
  <c r="B29" i="9" s="1"/>
  <c r="B30" i="9" s="1"/>
  <c r="B31" i="9" s="1"/>
  <c r="B32" i="9" s="1"/>
  <c r="B34" i="9" s="1"/>
  <c r="B35" i="9" s="1"/>
  <c r="B36" i="9" s="1"/>
  <c r="B37" i="9" s="1"/>
  <c r="B38" i="9" s="1"/>
  <c r="B39" i="9" s="1"/>
  <c r="B40" i="9" s="1"/>
  <c r="B41" i="9" s="1"/>
  <c r="B42" i="9" s="1"/>
  <c r="B43" i="9" s="1"/>
  <c r="B44" i="9" s="1"/>
  <c r="B45" i="9" s="1"/>
  <c r="B46" i="9" s="1"/>
  <c r="B47" i="9" s="1"/>
  <c r="B48" i="9" s="1"/>
  <c r="B49" i="9" s="1"/>
  <c r="B51" i="9" s="1"/>
  <c r="B52" i="9" s="1"/>
  <c r="B53" i="9" s="1"/>
  <c r="B54" i="9" s="1"/>
  <c r="B55" i="9" s="1"/>
  <c r="B56" i="9" s="1"/>
  <c r="B57" i="9" s="1"/>
  <c r="B58" i="9" s="1"/>
  <c r="B59" i="9" s="1"/>
  <c r="B60" i="9" s="1"/>
  <c r="B62" i="9" s="1"/>
  <c r="B63" i="9" s="1"/>
  <c r="B64" i="9" s="1"/>
  <c r="B65" i="9" s="1"/>
  <c r="B66" i="9" s="1"/>
  <c r="B67" i="9" s="1"/>
  <c r="B68" i="9" s="1"/>
  <c r="B69" i="9" s="1"/>
  <c r="B70" i="9" s="1"/>
  <c r="B71" i="9" s="1"/>
  <c r="B72" i="9" s="1"/>
  <c r="B73" i="9" s="1"/>
  <c r="B74" i="9" s="1"/>
  <c r="B75" i="9" s="1"/>
  <c r="B76" i="9" s="1"/>
  <c r="B77" i="9" s="1"/>
  <c r="B78" i="9" s="1"/>
  <c r="B79" i="9" s="1"/>
  <c r="B80" i="9" s="1"/>
  <c r="B81" i="9" s="1"/>
  <c r="B83" i="9" s="1"/>
  <c r="B84" i="9" s="1"/>
  <c r="B85" i="9" s="1"/>
  <c r="B86" i="9" s="1"/>
  <c r="B87" i="9" s="1"/>
  <c r="B88" i="9" s="1"/>
  <c r="B89" i="9" s="1"/>
  <c r="B90" i="9" s="1"/>
  <c r="B91" i="9" s="1"/>
  <c r="B92" i="9" s="1"/>
  <c r="B93" i="9" s="1"/>
  <c r="B94" i="9" s="1"/>
  <c r="B95" i="9" s="1"/>
  <c r="H7" i="8"/>
  <c r="G7" i="8"/>
  <c r="F7" i="8"/>
  <c r="H6" i="8"/>
  <c r="G6" i="8"/>
  <c r="F6" i="8"/>
  <c r="H5" i="8"/>
  <c r="G5" i="8"/>
  <c r="F5" i="8"/>
  <c r="H4" i="8"/>
  <c r="G4" i="8"/>
  <c r="F4" i="8"/>
  <c r="H3" i="8"/>
  <c r="G3" i="8"/>
  <c r="F3" i="8"/>
  <c r="H2" i="8"/>
  <c r="G2" i="8"/>
  <c r="F2" i="8"/>
  <c r="E7" i="8"/>
  <c r="D7" i="8"/>
  <c r="C7" i="8"/>
  <c r="B7" i="8"/>
  <c r="E6" i="8"/>
  <c r="D6" i="8"/>
  <c r="C6" i="8"/>
  <c r="B6" i="8"/>
  <c r="E5" i="8"/>
  <c r="D5" i="8"/>
  <c r="C5" i="8"/>
  <c r="B5" i="8"/>
  <c r="E4" i="8"/>
  <c r="D4" i="8"/>
  <c r="C4" i="8"/>
  <c r="B4" i="8"/>
  <c r="E3" i="8"/>
  <c r="D3" i="8"/>
  <c r="C3" i="8"/>
  <c r="B3" i="8"/>
  <c r="F74" i="2"/>
  <c r="E74" i="2"/>
  <c r="D74" i="2"/>
  <c r="C74" i="2"/>
  <c r="F73" i="2"/>
  <c r="E73" i="2"/>
  <c r="D73" i="2"/>
  <c r="C73" i="2"/>
  <c r="F72" i="2"/>
  <c r="E72" i="2"/>
  <c r="D72" i="2"/>
  <c r="C72" i="2"/>
  <c r="F71" i="2"/>
  <c r="E71" i="2"/>
  <c r="D71" i="2"/>
  <c r="C71" i="2"/>
  <c r="F70" i="2"/>
  <c r="E70" i="2"/>
  <c r="D70" i="2"/>
  <c r="C70" i="2"/>
  <c r="F63" i="2"/>
  <c r="E63" i="2"/>
  <c r="D63" i="2"/>
  <c r="C63" i="2"/>
  <c r="F62" i="2"/>
  <c r="E62" i="2"/>
  <c r="D62" i="2"/>
  <c r="C62" i="2"/>
  <c r="F61" i="2"/>
  <c r="E61" i="2"/>
  <c r="D61" i="2"/>
  <c r="C61" i="2"/>
  <c r="F60" i="2"/>
  <c r="E60" i="2"/>
  <c r="D60" i="2"/>
  <c r="C60" i="2"/>
  <c r="F59" i="2"/>
  <c r="E59" i="2"/>
  <c r="D59" i="2"/>
  <c r="C59" i="2"/>
  <c r="F51" i="2"/>
  <c r="E51" i="2"/>
  <c r="D51" i="2"/>
  <c r="C51" i="2"/>
  <c r="F50" i="2"/>
  <c r="E50" i="2"/>
  <c r="D50" i="2"/>
  <c r="C50" i="2"/>
  <c r="F49" i="2"/>
  <c r="E49" i="2"/>
  <c r="D49" i="2"/>
  <c r="C49" i="2"/>
  <c r="F48" i="2"/>
  <c r="E48" i="2"/>
  <c r="D48" i="2"/>
  <c r="C48" i="2"/>
  <c r="F47" i="2"/>
  <c r="E47" i="2"/>
  <c r="D47" i="2"/>
  <c r="C47" i="2"/>
  <c r="F40" i="2"/>
  <c r="E40" i="2"/>
  <c r="D40" i="2"/>
  <c r="C40" i="2"/>
  <c r="F39" i="2"/>
  <c r="E39" i="2"/>
  <c r="D39" i="2"/>
  <c r="C39" i="2"/>
  <c r="F38" i="2"/>
  <c r="E38" i="2"/>
  <c r="D38" i="2"/>
  <c r="C38" i="2"/>
  <c r="F37" i="2"/>
  <c r="E37" i="2"/>
  <c r="D37" i="2"/>
  <c r="C37" i="2"/>
  <c r="F36" i="2"/>
  <c r="E36" i="2"/>
  <c r="D36" i="2"/>
  <c r="C36" i="2"/>
  <c r="F28" i="2"/>
  <c r="E28" i="2"/>
  <c r="D28" i="2"/>
  <c r="C28" i="2"/>
  <c r="F27" i="2"/>
  <c r="E27" i="2"/>
  <c r="D27" i="2"/>
  <c r="C27" i="2"/>
  <c r="F26" i="2"/>
  <c r="E26" i="2"/>
  <c r="D26" i="2"/>
  <c r="C26" i="2"/>
  <c r="F25" i="2"/>
  <c r="E25" i="2"/>
  <c r="D25" i="2"/>
  <c r="C25" i="2"/>
  <c r="F24" i="2"/>
  <c r="E24" i="2"/>
  <c r="D24" i="2"/>
  <c r="C24" i="2"/>
  <c r="E2" i="8"/>
  <c r="D2" i="8"/>
  <c r="C2" i="8"/>
  <c r="B2" i="8"/>
  <c r="F16" i="2"/>
  <c r="F17" i="2"/>
  <c r="E17" i="2"/>
  <c r="E16" i="2"/>
  <c r="D17" i="2"/>
  <c r="C17" i="2"/>
  <c r="F15" i="2"/>
  <c r="E15" i="2"/>
  <c r="F14" i="2"/>
  <c r="F13" i="2"/>
  <c r="B27" i="1"/>
  <c r="B28" i="1" s="1"/>
  <c r="B29" i="1" s="1"/>
  <c r="B30" i="1" s="1"/>
  <c r="B31" i="1" s="1"/>
  <c r="B32" i="1" s="1"/>
  <c r="B33" i="1" s="1"/>
  <c r="B34" i="1" s="1"/>
  <c r="B35" i="1" s="1"/>
  <c r="B36" i="1" s="1"/>
  <c r="B37" i="1" s="1"/>
  <c r="B38" i="1" s="1"/>
  <c r="B39" i="1" s="1"/>
  <c r="B40" i="1" s="1"/>
  <c r="E57" i="7"/>
  <c r="D57" i="7"/>
  <c r="C57" i="7"/>
  <c r="E56" i="7"/>
  <c r="D56" i="7"/>
  <c r="C56" i="7"/>
  <c r="E55" i="7"/>
  <c r="D55" i="7"/>
  <c r="C55" i="7"/>
  <c r="E54" i="7"/>
  <c r="D54" i="7"/>
  <c r="C54" i="7"/>
  <c r="E48" i="7"/>
  <c r="D48" i="7"/>
  <c r="C48" i="7"/>
  <c r="E47" i="7"/>
  <c r="D47" i="7"/>
  <c r="C47" i="7"/>
  <c r="E46" i="7"/>
  <c r="D46" i="7"/>
  <c r="C46" i="7"/>
  <c r="E45" i="7"/>
  <c r="D45" i="7"/>
  <c r="C45" i="7"/>
  <c r="E38" i="7"/>
  <c r="D38" i="7"/>
  <c r="C38" i="7"/>
  <c r="E37" i="7"/>
  <c r="D37" i="7"/>
  <c r="C37" i="7"/>
  <c r="E36" i="7"/>
  <c r="D36" i="7"/>
  <c r="C36" i="7"/>
  <c r="E35" i="7"/>
  <c r="D35" i="7"/>
  <c r="C35" i="7"/>
  <c r="E29" i="7"/>
  <c r="D29" i="7"/>
  <c r="C29" i="7"/>
  <c r="E28" i="7"/>
  <c r="D28" i="7"/>
  <c r="C28" i="7"/>
  <c r="E27" i="7"/>
  <c r="D27" i="7"/>
  <c r="C27" i="7"/>
  <c r="E26" i="7"/>
  <c r="D26" i="7"/>
  <c r="C26" i="7"/>
  <c r="E20" i="7"/>
  <c r="D20" i="7"/>
  <c r="C20" i="7"/>
  <c r="E19" i="7"/>
  <c r="D19" i="7"/>
  <c r="C19" i="7"/>
  <c r="E18" i="7"/>
  <c r="D18" i="7"/>
  <c r="C18" i="7"/>
  <c r="E17" i="7"/>
  <c r="D17" i="7"/>
  <c r="C17" i="7"/>
  <c r="E11" i="7"/>
  <c r="D11" i="7"/>
  <c r="C11" i="7"/>
  <c r="E10" i="7"/>
  <c r="D10" i="7"/>
  <c r="C10" i="7"/>
  <c r="E9" i="7"/>
  <c r="D9" i="7"/>
  <c r="C9" i="7"/>
  <c r="E8" i="7"/>
  <c r="D8" i="7"/>
  <c r="C8" i="7"/>
  <c r="C13" i="2"/>
  <c r="C14" i="2"/>
  <c r="C3" i="6"/>
  <c r="C4" i="6"/>
  <c r="C5" i="6"/>
  <c r="C6" i="6"/>
  <c r="C7" i="6"/>
  <c r="C8" i="6"/>
  <c r="C9" i="6"/>
  <c r="C10" i="6"/>
  <c r="C11" i="6"/>
  <c r="C12" i="6"/>
  <c r="C13" i="6"/>
  <c r="C14" i="6"/>
  <c r="C15" i="6"/>
  <c r="C16" i="6"/>
  <c r="C17" i="6"/>
  <c r="C18" i="6"/>
  <c r="C19" i="6"/>
  <c r="C20" i="6"/>
  <c r="C21" i="6"/>
  <c r="C22" i="6"/>
  <c r="C23" i="6"/>
  <c r="C24" i="6"/>
  <c r="C25" i="6"/>
  <c r="C26" i="6"/>
  <c r="C27" i="6"/>
  <c r="C28" i="6"/>
  <c r="C29" i="6"/>
  <c r="C30" i="6"/>
  <c r="C31" i="6"/>
  <c r="C32" i="6"/>
  <c r="C33" i="6"/>
  <c r="C34" i="6"/>
  <c r="C35" i="6"/>
  <c r="C36" i="6"/>
  <c r="C37" i="6"/>
  <c r="C38" i="6"/>
  <c r="C39" i="6"/>
  <c r="C40" i="6"/>
  <c r="C41" i="6"/>
  <c r="C42" i="6"/>
  <c r="C43" i="6"/>
  <c r="C44" i="6"/>
  <c r="C45" i="6"/>
  <c r="C46" i="6"/>
  <c r="C47" i="6"/>
  <c r="C48" i="6"/>
  <c r="C49" i="6"/>
  <c r="C50" i="6"/>
  <c r="C51" i="6"/>
  <c r="C52" i="6"/>
  <c r="C53" i="6"/>
  <c r="C54" i="6"/>
  <c r="C55" i="6"/>
  <c r="C56" i="6"/>
  <c r="C57" i="6"/>
  <c r="C58" i="6"/>
  <c r="C59" i="6"/>
  <c r="C60" i="6"/>
  <c r="C61" i="6"/>
  <c r="C62" i="6"/>
  <c r="C63" i="6"/>
  <c r="C64" i="6"/>
  <c r="C65" i="6"/>
  <c r="C66" i="6"/>
  <c r="C67" i="6"/>
  <c r="C68" i="6"/>
  <c r="C69" i="6"/>
  <c r="C70" i="6"/>
  <c r="C71" i="6"/>
  <c r="C72" i="6"/>
  <c r="C73" i="6"/>
  <c r="C74" i="6"/>
  <c r="C75" i="6"/>
  <c r="C76" i="6"/>
  <c r="C77" i="6"/>
  <c r="C78" i="6"/>
  <c r="C79" i="6"/>
  <c r="C80" i="6"/>
  <c r="C81" i="6"/>
  <c r="C82" i="6"/>
  <c r="C83" i="6"/>
  <c r="C84" i="6"/>
  <c r="C85" i="6"/>
  <c r="C86" i="6"/>
  <c r="C87" i="6"/>
  <c r="C88" i="6"/>
  <c r="C89" i="6"/>
  <c r="C90" i="6"/>
  <c r="C91" i="6"/>
  <c r="C92" i="6"/>
  <c r="C93" i="6"/>
  <c r="C94" i="6"/>
  <c r="C95" i="6"/>
  <c r="C96" i="6"/>
  <c r="C97" i="6"/>
  <c r="C98" i="6"/>
  <c r="C2" i="6"/>
  <c r="D16" i="2"/>
  <c r="C16" i="2"/>
  <c r="D15" i="2"/>
  <c r="C15" i="2"/>
  <c r="E14" i="2"/>
  <c r="D14" i="2"/>
  <c r="E13" i="2"/>
  <c r="D13" i="2"/>
  <c r="B41" i="1" l="1"/>
  <c r="B42" i="1" s="1"/>
  <c r="B43" i="1" s="1"/>
  <c r="B44" i="1" s="1"/>
  <c r="B45" i="1" s="1"/>
  <c r="B46" i="1" s="1"/>
  <c r="B47" i="1" s="1"/>
  <c r="B48" i="1" s="1"/>
  <c r="B49" i="1" s="1"/>
  <c r="B50" i="1" s="1"/>
  <c r="B51" i="1" s="1"/>
  <c r="B52" i="1" s="1"/>
  <c r="B54" i="1" s="1"/>
  <c r="B55" i="1" s="1"/>
  <c r="B56" i="1" s="1"/>
  <c r="B57" i="1" s="1"/>
  <c r="B58" i="1" s="1"/>
  <c r="B59" i="1" s="1"/>
  <c r="B60" i="1" s="1"/>
  <c r="B61" i="1" s="1"/>
  <c r="B62" i="1" s="1"/>
  <c r="B63" i="1" s="1"/>
  <c r="B64" i="1" l="1"/>
  <c r="B65" i="1" s="1"/>
  <c r="B66" i="1" s="1"/>
  <c r="B67" i="1" s="1"/>
  <c r="B68" i="1" s="1"/>
  <c r="B69" i="1" s="1"/>
  <c r="B70" i="1" s="1"/>
  <c r="B72" i="1" s="1"/>
  <c r="B73" i="1" s="1"/>
  <c r="B74" i="1" s="1"/>
  <c r="B75" i="1" s="1"/>
  <c r="B76" i="1" s="1"/>
  <c r="B77" i="1" s="1"/>
  <c r="B78" i="1" s="1"/>
  <c r="B79" i="1" s="1"/>
  <c r="B80" i="1" s="1"/>
  <c r="B81" i="1" s="1"/>
  <c r="B82" i="1" s="1"/>
  <c r="B84" i="1" s="1"/>
  <c r="B85" i="1" l="1"/>
  <c r="B86" i="1" s="1"/>
  <c r="B87" i="1" s="1"/>
  <c r="B88" i="1" s="1"/>
  <c r="B89" i="1" s="1"/>
  <c r="B90" i="1" s="1"/>
  <c r="B91" i="1" s="1"/>
  <c r="B92" i="1" s="1"/>
  <c r="B93" i="1" s="1"/>
  <c r="B94" i="1" s="1"/>
  <c r="B95" i="1" s="1"/>
  <c r="B96" i="1" s="1"/>
  <c r="B97" i="1" l="1"/>
  <c r="B98" i="1" s="1"/>
  <c r="B99" i="1" s="1"/>
  <c r="B100" i="1" s="1"/>
  <c r="B101" i="1" s="1"/>
  <c r="B102" i="1" s="1"/>
  <c r="B103" i="1" s="1"/>
  <c r="B104" i="1" s="1"/>
  <c r="B106" i="1" s="1"/>
  <c r="B107" i="1" s="1"/>
  <c r="B108" i="1" s="1"/>
  <c r="B109" i="1" s="1"/>
  <c r="B110" i="1" s="1"/>
  <c r="B111" i="1" s="1"/>
  <c r="B112" i="1" s="1"/>
  <c r="B113" i="1" s="1"/>
  <c r="B114" i="1" s="1"/>
  <c r="B115" i="1" s="1"/>
  <c r="B116" i="1" s="1"/>
  <c r="B117" i="1" s="1"/>
  <c r="B118" i="1" s="1"/>
  <c r="B119" i="1" s="1"/>
</calcChain>
</file>

<file path=xl/sharedStrings.xml><?xml version="1.0" encoding="utf-8"?>
<sst xmlns="http://schemas.openxmlformats.org/spreadsheetml/2006/main" count="998" uniqueCount="534">
  <si>
    <t>EQuiPD</t>
  </si>
  <si>
    <t>EQuiPD: Equity in Air Quality 
Policy &amp; Data Ecosystem</t>
  </si>
  <si>
    <t>Data-sharing partnerships &amp; management tools</t>
  </si>
  <si>
    <t>City/institutional buy-in, capacity building &amp; training</t>
  </si>
  <si>
    <t>Public support &amp; engagement</t>
  </si>
  <si>
    <t>Estimating air pollution</t>
  </si>
  <si>
    <t>Source &amp; emission inventories</t>
  </si>
  <si>
    <t>Category</t>
  </si>
  <si>
    <t>DS</t>
  </si>
  <si>
    <t>CB</t>
  </si>
  <si>
    <t>PS</t>
  </si>
  <si>
    <t>IM</t>
  </si>
  <si>
    <t>AP</t>
  </si>
  <si>
    <t>SE</t>
  </si>
  <si>
    <t>Categories</t>
  </si>
  <si>
    <t>Domains</t>
  </si>
  <si>
    <t>TC</t>
  </si>
  <si>
    <t>DI</t>
  </si>
  <si>
    <t>IP</t>
  </si>
  <si>
    <t>PE</t>
  </si>
  <si>
    <t>Themes</t>
  </si>
  <si>
    <t>DE</t>
  </si>
  <si>
    <t>SO</t>
  </si>
  <si>
    <t>AI</t>
  </si>
  <si>
    <t>Equity Themes</t>
  </si>
  <si>
    <t>Technical Capacity</t>
  </si>
  <si>
    <t>Data Integration</t>
  </si>
  <si>
    <t>Internal Processes</t>
  </si>
  <si>
    <t>Participation and Empowerment</t>
  </si>
  <si>
    <t>Distributional Equity</t>
  </si>
  <si>
    <t>Socioeconomic Resilience and Opportunity</t>
  </si>
  <si>
    <t>Access and Inclusivity</t>
  </si>
  <si>
    <t>Robust capacity in data collection, analysis, and public transparency is essential for equitable air quality policies. This means systems that detect health and economic disparities, integrate diverse datasets, and map cumulative environmental burdens by community and socioeconomic status. Open access to data, strong local partnerships, and active involvement of marginalized communities in monitoring and decision-making help ensure that interventions are both effective and just. Regular, transparent reporting and evaluation of outcomes are crucial for accountability and ongoing policy improvement.</t>
  </si>
  <si>
    <t>Score (0-3)</t>
  </si>
  <si>
    <t>Building and sustaining robust technical and organizational capacity is vital for equitable air quality policy-making. This involves having political buy-in to channel resources and mandate and accessible tools and trained staff to map, analyze, and communicate air quality gradients,  their health and equity impacts, as well as resources for ongoing public and community training. Budgets and leadership structures must support long-term system upgrades, prioritize high-burden communities, and ensure regular, transparent evaluations—including independent audits and mechanisms for community input. Effective capacity also requires cross-sector coordination, sustained funding, and a commitment to policies that target disparity reduction and reflect the needs and diversity of the most affected populations.</t>
  </si>
  <si>
    <t xml:space="preserve">Ensuring that air quality policy-making addresses  the diverse needs of all communities, especially the most vulnerable is critical to building public support &amp; engagement. This means collecting and sharing data on access to clean air spaces, transportation, and public warnings, while tailoring resources and risk communications in multiple formats and languages. Economic impact assessments and compliance costs should explicitly analyze and address differential burdens, and feedback mechanisms must enable meaningful input from marginalized groups. Accessible and inclusive information about air pollution, impacts from policies and live tracking of changes over team can be game changing when it comes to building public support and addressing backlash. Sustained training, participatory processes, and investments in clean air monitoring infrastructure—combined with regular evaluation of health outcomes, public accountability, and integration of citizen data—ensure that policies are both effective and equitable for populations such as low-income, elderly, Indigenous, and minority residents. </t>
  </si>
  <si>
    <t>Ensuring equitable air quality policy-making demands comprehensive monitoring and modeling systems that achieve high spatial and temporal coverage (especially in historically underserved neighborhoods) and prioritize addressing impacts to vulnerable groups such as children and the elderly. This includes integrating data from diverse sources (e.g., reference monitors, low-cost sensors, models, satellite data, and meteorological stations) into accessible, central repositories and using analytical tools to assess how air quality, health, employment, and energy costs vary across communities. Collaboration among city staff, technical experts, and community partners in siting, operating, and interpreting monitors and models is essential for accurate, quality-assured data that drives action. Making all monitoring and modeling outputs user-friendly and publicly accessible, while linking environmental, health, workforce, and housing data, enables targeted interventions and supports transparency, accountability, and more equitable outcomes.</t>
  </si>
  <si>
    <t>Equitable air quality policy-making requires systematic monitoring and evaluation of emissions, land use, and zoning decisions with a strong focus on communities facing the greatest risks, such as low-income and minority neighborhoods near industrial sites. Maintaining and openly sharing data on point, area, and mobile emission sources—alongside vehicle inspection programs, fenceline monitoring, and accessible records of land use changes—ensures transparency and helps link environmental and economic impacts to public health outcomes. Incorporating input from disproportionately exposed groups, workers, and community organizations into emission assessments, zoning, and policy review enables more just and inclusive decisions. Partnerships across government, industry, and labor, along with accessible platforms for data, green jobs, and retraining opportunities, support ongoing improvements, accountability, and equitable transitions, particularly for those most affected by pollution and economic changes.</t>
  </si>
  <si>
    <t>Equitable air quality policy-making relies on comprehensive, accurate modeling and monitoring systems that explicitly quantify health and economic impacts of particular policies for vulnerable and marginalized groups. This involves ensuring exposure and scenario-based models reflect real-world conditions through collaboration with monitoring networks, validation in data-sparse areas, and integration of fine-scale demographic and economic data. Analyses must be stratified by factors such as income, age, race, and geography, translating results into meaningful, accessible formats (e.g., public dashboards, maps, and plain-language summaries) that inform both policy and community resilience efforts. Ongoing community input, transparent communication of methods and limitations, and regular updates ensure that modeling truly supports fair distribution of benefits and burdens, strengthens preparedness, and provides targeted support to those most affected by air pollution and regulatory changes.</t>
  </si>
  <si>
    <t>Self-Assessment Questions</t>
  </si>
  <si>
    <t>Question</t>
  </si>
  <si>
    <t>Organization</t>
  </si>
  <si>
    <t>Abbreviation</t>
  </si>
  <si>
    <t>Full_Name</t>
  </si>
  <si>
    <t>Domain</t>
  </si>
  <si>
    <t>Equity Theme</t>
  </si>
  <si>
    <t>Health and economic impact modelling</t>
  </si>
  <si>
    <t>Answers</t>
  </si>
  <si>
    <t>Name of person filling out this self-assessment?</t>
  </si>
  <si>
    <t>City</t>
  </si>
  <si>
    <t>Name</t>
  </si>
  <si>
    <t>Share</t>
  </si>
  <si>
    <t>short_q</t>
  </si>
  <si>
    <t>Preliminary</t>
  </si>
  <si>
    <t>Data Collection (Health, Air Quality, Demographics, Socioeconomics)</t>
  </si>
  <si>
    <t>Yes</t>
  </si>
  <si>
    <t>Health &amp; economic impact modelling</t>
  </si>
  <si>
    <t>Country</t>
  </si>
  <si>
    <t>Abidjan</t>
  </si>
  <si>
    <t>Côte d’Ivoire</t>
  </si>
  <si>
    <t>Accra</t>
  </si>
  <si>
    <t>Ghana</t>
  </si>
  <si>
    <t>Addis Ababa</t>
  </si>
  <si>
    <t>Ethiopia</t>
  </si>
  <si>
    <t>Cape Town</t>
  </si>
  <si>
    <t>South Africa</t>
  </si>
  <si>
    <t>Casablanca</t>
  </si>
  <si>
    <t>Morocco</t>
  </si>
  <si>
    <t>Dakar</t>
  </si>
  <si>
    <t>Senegal</t>
  </si>
  <si>
    <t>Dar es Salaam</t>
  </si>
  <si>
    <t>Tanzania</t>
  </si>
  <si>
    <t>Durban (eThekwini)</t>
  </si>
  <si>
    <t>Ekurhuleni</t>
  </si>
  <si>
    <t>Freetown</t>
  </si>
  <si>
    <t>Sierra Leone</t>
  </si>
  <si>
    <t>Johannesburg</t>
  </si>
  <si>
    <t>Lagos</t>
  </si>
  <si>
    <t>Nigeria</t>
  </si>
  <si>
    <t>Nairobi</t>
  </si>
  <si>
    <t>Kenya</t>
  </si>
  <si>
    <t>Tshwane</t>
  </si>
  <si>
    <t>Beijing</t>
  </si>
  <si>
    <t>China</t>
  </si>
  <si>
    <t>Chengdu</t>
  </si>
  <si>
    <t>Dalian</t>
  </si>
  <si>
    <t>Fuzhou</t>
  </si>
  <si>
    <t>Guangzhou</t>
  </si>
  <si>
    <t>Hangzhou</t>
  </si>
  <si>
    <t>Hong Kong</t>
  </si>
  <si>
    <t>Nanjing</t>
  </si>
  <si>
    <t>Qingdao</t>
  </si>
  <si>
    <t>Shanghai</t>
  </si>
  <si>
    <t>Shenzhen</t>
  </si>
  <si>
    <t>Wuhan</t>
  </si>
  <si>
    <t>Zhenjiang</t>
  </si>
  <si>
    <t>Auckland</t>
  </si>
  <si>
    <t>New Zealand</t>
  </si>
  <si>
    <t>Bangkok</t>
  </si>
  <si>
    <t>Thailand</t>
  </si>
  <si>
    <t>Hanoi</t>
  </si>
  <si>
    <t>Vietnam</t>
  </si>
  <si>
    <t>Ho Chi Minh City</t>
  </si>
  <si>
    <t>Jakarta</t>
  </si>
  <si>
    <t>Indonesia</t>
  </si>
  <si>
    <t>Kuala Lumpur</t>
  </si>
  <si>
    <t>Malaysia</t>
  </si>
  <si>
    <t>Melbourne</t>
  </si>
  <si>
    <t>Australia</t>
  </si>
  <si>
    <t>Quezon City</t>
  </si>
  <si>
    <t>The Philippines</t>
  </si>
  <si>
    <t>Seoul</t>
  </si>
  <si>
    <t>Republic of Korea</t>
  </si>
  <si>
    <t>Singapore</t>
  </si>
  <si>
    <t>Sydney</t>
  </si>
  <si>
    <t>Tokyo</t>
  </si>
  <si>
    <t>Japan</t>
  </si>
  <si>
    <t>Yokohama</t>
  </si>
  <si>
    <t>Amsterdam</t>
  </si>
  <si>
    <t>The Netherlands</t>
  </si>
  <si>
    <t>Athens</t>
  </si>
  <si>
    <t>Greece</t>
  </si>
  <si>
    <t>Barcelona</t>
  </si>
  <si>
    <t>Spain</t>
  </si>
  <si>
    <t>Berlin</t>
  </si>
  <si>
    <t>Germany</t>
  </si>
  <si>
    <t>Copenhagen</t>
  </si>
  <si>
    <t>Denmark</t>
  </si>
  <si>
    <t>Heidelberg</t>
  </si>
  <si>
    <t>Istanbul</t>
  </si>
  <si>
    <t>Turkey</t>
  </si>
  <si>
    <t>Lisbon</t>
  </si>
  <si>
    <t>Portugal</t>
  </si>
  <si>
    <t>London</t>
  </si>
  <si>
    <t>United Kingdom</t>
  </si>
  <si>
    <t>Madrid</t>
  </si>
  <si>
    <t>Milan</t>
  </si>
  <si>
    <t>Italy</t>
  </si>
  <si>
    <t>Oslo</t>
  </si>
  <si>
    <t>Norway</t>
  </si>
  <si>
    <t>Paris</t>
  </si>
  <si>
    <t>France</t>
  </si>
  <si>
    <t>Rome</t>
  </si>
  <si>
    <t>Rotterdam</t>
  </si>
  <si>
    <t>Stockholm</t>
  </si>
  <si>
    <t>Sweden</t>
  </si>
  <si>
    <t>Tel Aviv - Yafo</t>
  </si>
  <si>
    <t>Israel</t>
  </si>
  <si>
    <t>Warsaw</t>
  </si>
  <si>
    <t>Poland</t>
  </si>
  <si>
    <t>Bogotá</t>
  </si>
  <si>
    <t>Colombia</t>
  </si>
  <si>
    <t>Buenos Aires</t>
  </si>
  <si>
    <t>Argentina</t>
  </si>
  <si>
    <t>Curitiba</t>
  </si>
  <si>
    <t>Brazil</t>
  </si>
  <si>
    <t>Fortaleza</t>
  </si>
  <si>
    <t>Guadalajara</t>
  </si>
  <si>
    <t>Mexico</t>
  </si>
  <si>
    <t>Lima</t>
  </si>
  <si>
    <t>Peru</t>
  </si>
  <si>
    <t>Medellín</t>
  </si>
  <si>
    <t>Mexico City</t>
  </si>
  <si>
    <t>Quito</t>
  </si>
  <si>
    <t>Ecuador</t>
  </si>
  <si>
    <t>Rio de Janeiro</t>
  </si>
  <si>
    <t>Salvador</t>
  </si>
  <si>
    <t>Santiago</t>
  </si>
  <si>
    <t>Chile</t>
  </si>
  <si>
    <t>São Paulo</t>
  </si>
  <si>
    <t>Austin</t>
  </si>
  <si>
    <t>United States</t>
  </si>
  <si>
    <t>Boston</t>
  </si>
  <si>
    <t>Chicago</t>
  </si>
  <si>
    <t>Houston</t>
  </si>
  <si>
    <t>Los Angeles</t>
  </si>
  <si>
    <t>Miami</t>
  </si>
  <si>
    <t>Montréal</t>
  </si>
  <si>
    <t>Canada</t>
  </si>
  <si>
    <t>New Orleans</t>
  </si>
  <si>
    <t>New York City</t>
  </si>
  <si>
    <t>Philadelphia</t>
  </si>
  <si>
    <t>Phoenix</t>
  </si>
  <si>
    <t>Portland</t>
  </si>
  <si>
    <t>San Francisco</t>
  </si>
  <si>
    <t>Seattle</t>
  </si>
  <si>
    <t>Toronto</t>
  </si>
  <si>
    <t>Vancouver</t>
  </si>
  <si>
    <t>Ahmedabad</t>
  </si>
  <si>
    <t>India</t>
  </si>
  <si>
    <t>Amman</t>
  </si>
  <si>
    <t>Jordan</t>
  </si>
  <si>
    <t>Bengaluru</t>
  </si>
  <si>
    <t>Chennai</t>
  </si>
  <si>
    <t>Delhi NCT</t>
  </si>
  <si>
    <t>Dhaka (North &amp; South)</t>
  </si>
  <si>
    <t>Bangladesh</t>
  </si>
  <si>
    <t>Dubai</t>
  </si>
  <si>
    <t>United Arab Emirates</t>
  </si>
  <si>
    <t>Karachi</t>
  </si>
  <si>
    <t>Pakistan</t>
  </si>
  <si>
    <t>Mumbai</t>
  </si>
  <si>
    <t>Washington DC</t>
  </si>
  <si>
    <t>Combined</t>
  </si>
  <si>
    <t>Other_city</t>
  </si>
  <si>
    <t>Not listed</t>
  </si>
  <si>
    <t>Response</t>
  </si>
  <si>
    <t>City name? (Use dropdown list to select from C40 cities, or enter 'Not listed')</t>
  </si>
  <si>
    <t>Overall</t>
  </si>
  <si>
    <t>Definitions</t>
  </si>
  <si>
    <t>Are labor unions, worker cooperatives, and community organizations actively engaged in decisionmaking about where to locate air pollution monitors?
Spatial and temporal resolution should be high enough to identify specific neighborhoods and other areas of your city that are disproportionately impacted by air pollution.</t>
  </si>
  <si>
    <t xml:space="preserve">Does your city government have partnerships with industry, transportation, and agricultural sectors to improve emission inventories?
</t>
  </si>
  <si>
    <t>Is there a mechanism (for example, regular meetings in neighborhoods across your city) to ensure that community-generated data and lived experiences are collected and used by city government staff for policy, resource allocation, and program design?</t>
  </si>
  <si>
    <t>Data Partnerships and Linkages</t>
  </si>
  <si>
    <t>Are satellite products linked with other air pollution monitoring data and with health and economic data (e.g., hospitalizations, asthma prevalence)?
Satellite-derived air quality data can complement air quality monitoring data, particularly where monitoring data is sparse.</t>
  </si>
  <si>
    <t>Does your city have access to historical meteorological data for your city and the surrounding areas that can be linked to other data sources?
Historical data can be helpful when estimating air pollution over time.</t>
  </si>
  <si>
    <t>Can your city obtain and link data from low-cost sensors maintained by non-governmental organizations or private individuals?</t>
  </si>
  <si>
    <t>Is dedicated technical support provided to community groups managing their own low-cost sensor projects to ensure data quality and sensor calibration?</t>
  </si>
  <si>
    <t>Is your city able to link and map yearly data on instances of floods, heat waves, toxic chemical contamination, and other environmental burdens?</t>
  </si>
  <si>
    <t>Data Disaggregation and Integration</t>
  </si>
  <si>
    <t>Are community-generated data sources and data from lived experiences integrated into official city data sources?</t>
  </si>
  <si>
    <t>Are multiple years of historical land use and zoning data available to link to other data sets?
This type of data linkage can support air quality projections, health impact projections, and economic policy impact projections, among other topics.</t>
  </si>
  <si>
    <t>Does your city have the ability (sensors, expertise, etc) to gather indoor air quality data across diverse housing types and locations (e.g., underinvested neighborhoods, high-rise apartments)?</t>
  </si>
  <si>
    <t>Data Analysis and Modeling</t>
  </si>
  <si>
    <t xml:space="preserve">Does your city use open-source data analysis tools (e.g., R, QGIS) for its analyses?
Using open-source tools can ensure your city’s technical capacity is robust because they do not require your city to purchase new software every few years. </t>
  </si>
  <si>
    <t>Are data fusion techniques used to combine remote sensing, ground-based, and modeled data to enhance exposure assessment?</t>
  </si>
  <si>
    <t>Are model assumptions and data limitations clearly documented and communicated?</t>
  </si>
  <si>
    <t>Are exposure models evaluated for accuracy where monitoring data may be sparse?</t>
  </si>
  <si>
    <t>Are appropriate concentration–response functions available and applied?</t>
  </si>
  <si>
    <t>Is population-specific epidemiological literature used for equity analysis? (i.e., using research from/with affected populations)</t>
  </si>
  <si>
    <t>Do evaluations report whether health outcomes (e.g., fewer hospital visits, lower asthma rates) improve after interventions?</t>
  </si>
  <si>
    <t>Data Communication</t>
  </si>
  <si>
    <t>Does your city track public engagement with any publicly available air quality data?
This could include simply counting the number of visits to relevant webpages, and it would be a helpful datapoint to consider when building equitable air quality policies.</t>
  </si>
  <si>
    <t>Are there frequent, accessible training opportunities provided to communities and neighborhoods on how to use monitors, and store/access and interpret air quality data?</t>
  </si>
  <si>
    <t>Is air monitoring data translated into non-technical summaries and available in the primary languages spoken by residents in the monitored communities?</t>
  </si>
  <si>
    <t>This page counts the number of questions at the intersection of each category, domain, and equity theme. Areas with fewer questions may be areas of opportunity to further expand or consider revising scoring mapping.</t>
  </si>
  <si>
    <t>Technical Capability</t>
  </si>
  <si>
    <t>The city government’s infrastructure, expertise, and resources for accurately monitoring, analyzing, and managing data. This includes the availability of appropriate equipment, digital platforms, skilled personnel, and technical support.</t>
  </si>
  <si>
    <t>The ability to combine and align air quality data with other relevant data sources (such as health, demographic, geographic, and socioeconomic data). This includes systems and processes for data sharing, interdepartmental data flows, interoperability, and the consolidation of data into actionable insights to inform policy and interventions.</t>
  </si>
  <si>
    <t>Internal processes</t>
  </si>
  <si>
    <t>The city government’s organizational procedures, policies, and practices for managing air quality, health, and equity initiatives. This covers strategic planning, interdepartmental coordination, budgeting, workflow management, staff training, and evaluation mechanisms to ensure effective implementation and accountability.</t>
  </si>
  <si>
    <t>The involvement and engagement of external parties—such as community groups, residents, businesses, academic institutions, nonprofits, and regional or national governmental agencies—in planning, decision-making, and program implementation related to air quality, public health, and equity. This includes collaboration, transparent communication, and shared governance where appropriate.</t>
  </si>
  <si>
    <t>Equity and air quality data is useful in and of itself to develop a more complete understanding of your city. This theme examines whether benefits, risks, costs, and opportunities from policies are fairly distributed among different social, economic, and demographic groups. Questions generally revolve around assessing health inequalities, cost of living, and fairness of air quality actions to better understand the components of air pollution injustice.</t>
  </si>
  <si>
    <t>Equity and air quality data provide fundamental information for assessing policy outcomes. This theme relates to communities and workers ability to adapt, benefit, and thrive amid policy-driven changes—such as job transitions, economic shifts, and changes in cost of living—while promoting fair access to new opportunities (e.g., green jobs, retraining). Questions generally focus on economic opportunities (including green jobs and training), cost of living, and access to information and public spaces to better understand the drivers of air pollution injustice</t>
  </si>
  <si>
    <t>Ensuring equitable outcomes along the five equity impact areas outlined by C40. This theme addresses equitable access to information, services, public resources, infrastructure, participation in decision-making, and physical environments for all communities, especially those historically marginalized. Questions focus on accessibility and inclusion to services, public spaces, and information as well as engagement and decision making around data.</t>
  </si>
  <si>
    <t>Health &amp; economic impact modeling</t>
  </si>
  <si>
    <t xml:space="preserve">*Do air pollution monitoring locations prioritize high-risk groups (for example., children, elderly, people with pre-existing conditions) and neighborhoods with historical underinvestment?
</t>
  </si>
  <si>
    <t>*Does your city have systems for documentation and version control for all of its datasets?</t>
  </si>
  <si>
    <t>*Do air quality modeling staff collaborate with staff maintaining air quality monitoring networks so that they can bias-correct model predictions?</t>
  </si>
  <si>
    <t>*Does your city employ staff or consultants responsible for maintaining and linking air quality, environmental, demographic, health, economic, and other datasets and data pipelines?
A “data pipeline” can include computing scripts–often in Python, R, or a similar language–that can make data available for analysis and sharing.</t>
  </si>
  <si>
    <t>*Has your city established data sharing partnerships between each department within your city that collects datasets that are important for analyzing the equity impacts of air quality policies?
These departments in your city may include environmental and air quality departments, planning departments, health departments, transportation departments, and economic development or employment departments.
Partnerships may take many forms, including regularly scheduled communication among departments, cross-department working groups, or data sharing agreements and Memorandums of Understanding.</t>
  </si>
  <si>
    <t>*Does your city have the capacity to link air pollution model data (versus monitor data), particularly where either regulatory or low-cost air pollution monitor data is sparse?
Air pollution model data (rather than monitor-based data) are often produced by outside experts. Thus, model-based data often needs to be linked. This question asks whether your city has the capacity to link this type of data.</t>
  </si>
  <si>
    <t>*Does your city link data on housing conditions, energy use patterns, household activities and behaviors, and indoor air pollutant sources?</t>
  </si>
  <si>
    <t>*Are emission and/or air quality datasets linked with workforce data (e.g., employment sectors, wages, occupational health)?</t>
  </si>
  <si>
    <t>*Are you able to disaggregate all other environmental data sources–including those measuring point / source emissions, meteorology, floods, and chemical use–by sociodemographic characteristics?
As in the question above related to air pollution data, this ability is central to understanding health and economic equity impacts of air pollution.</t>
  </si>
  <si>
    <t>*Can your city disaggregate labor market and economic data sources--including those job creation, job loss, and other economic costs-–by sociodemographic characteristics?</t>
  </si>
  <si>
    <t>*Does your city systematically measure the effects of air quality policies to ensure they reduce inequities in air pollution exposure and related health economic effects?
For example, the AQUA tool from C40 is one tool that can be used to measure health effects, but your city may choose other tools for this purpose.</t>
  </si>
  <si>
    <t>*Are baseline population and health outcome incidence data available?</t>
  </si>
  <si>
    <t>*Are policy-based scenarios evaluated for distributional fairness (who benefits most/least)?</t>
  </si>
  <si>
    <t>*Do health and economic impact assessments of air quality policies include analyses of differential burdens across diverse groups and local economies (e.g., low income workers)?</t>
  </si>
  <si>
    <t>*Does your city analyze health and economic costs associated with policy compliance or adaptation and how this is distributed across communities and businesses of different sizes?</t>
  </si>
  <si>
    <t>*Can the public access your city’s air quality and emissions data for free?
Public access could include internet-based tools or apps.
Note: This specific question refers only to the ability of the public to access your data. It does not refer to whether the public actually uses whatever tools may exist.</t>
  </si>
  <si>
    <t>*Are public-facing data platforms designed with community input to ensure accessibility (e.g., mobile-friendly, low-data consumption, interactive maps) rather than relying solely on raw data files?</t>
  </si>
  <si>
    <t xml:space="preserve">*Are real-time air quality alerts and warnings, resources, and recommendations for protective actions available to residents in all neighborhoods in your city? 
For this question, consider whether these resources (alerts, recommendations, etc.) are disseminated through multiple platforms, including websites, apps, text messaging, or other media. </t>
  </si>
  <si>
    <t>*Are policy effects evaluated and reported back to communities in a transparent and publicly accessible way?</t>
  </si>
  <si>
    <t>*Are stakeholders within the government able to access and distribute quality-assured air quality data?</t>
  </si>
  <si>
    <t>Recommendations</t>
  </si>
  <si>
    <t>Create a community advisory panel with real decision‑making power in monitor placement to ensure lived experience shapes data coverage. Examples: Allow residents to vote on final monitor placements in two high‑pollution corridors; rotate panel membership annually to include renters from impacted zones.</t>
  </si>
  <si>
    <t>Convene an emissions‑improvement working group with major sectors to update inventories annually. Examples: Meet quarterly with refinery operators to review flaring data; coordinate with warehouse operators to track truck fleet turnover.</t>
  </si>
  <si>
    <t>Gather or estimate household fuel‑use patterns to identify indoor and outdoor emissions sources. Examples: Map homes still using wood stoves; identify multifamily buildings heated with older oil boilers.</t>
  </si>
  <si>
    <t>Deploy portable indoor air sensors with partners such as housing authorities to understand indoor exposures. Examples: Place sensors in public‑housing units during winter heating season; monitor indoor PM2.5 in childcare centers near freeways.</t>
  </si>
  <si>
    <t>Track household energy and transportation burdens to understand economic stress linked to pollution and energy transitions. Examples: Analyze utility bill data for low‑income households; survey commute distances for car‑dependent neighborhoods.</t>
  </si>
  <si>
    <t>Hold regular coordination meetings between modeling and monitoring teams to align assumptions and calibration. Examples: Update modelers on new monitor calibration methods; inform monitoring teams about modeling parameter changes.</t>
  </si>
  <si>
    <t>Data Collection</t>
  </si>
  <si>
    <t>Score</t>
  </si>
  <si>
    <t>View recommendations and next steps</t>
  </si>
  <si>
    <t>Learn more about Categories, Domains, and Themes</t>
  </si>
  <si>
    <t>Date completed</t>
  </si>
  <si>
    <t>Scoring</t>
  </si>
  <si>
    <t>Date</t>
  </si>
  <si>
    <t>Assign a dedicated data engineering team to maintain pipelines and ensure data quality. Examples: Automate ingestion of real‑time sensor feeds; implement validation checks for emissions updates.</t>
  </si>
  <si>
    <t>Use satellite‑based datasets to fill spatial gaps in monitoring coverage. Examples: Blend TROPOMI NO2 with ground monitors; use MODIS AOD to estimate PM2.5 in rural outskirts.</t>
  </si>
  <si>
    <t>Use modeled estimates when monitors are sparse or absent. Examples: Use CMAQ for industrial zones without sensors; apply WRF‑Chem for wildfire‑smoke scenarios.</t>
  </si>
  <si>
    <t>Integrate historical meteorological records for trend analysis and modeling. Examples: Include 20‑year wind roses in source‑apportionment; use multi‑decade temperature data to study heat‑pollution interactions.</t>
  </si>
  <si>
    <t>Run calibration clinics to help residents maintain sensor accuracy. Examples: Host weekend calibration events at libraries; provide loaner calibration equipment for community groups.</t>
  </si>
  <si>
    <t>Link emissions hotspots with wage, employment, and economic data. Examples: Overlay warehouse clusters with low‑wage worker density; compare refinery‑adjacent neighborhoods' income levels.</t>
  </si>
  <si>
    <t>Map cumulative burdens combining environmental, social, and economic stressors. Examples: Combine PM2.5, heat, and truck‑traffic metrics; integrate pollution with poverty and overcrowding data.</t>
  </si>
  <si>
    <t>Require de‑identified, demographically stratified health outcomes. Examples: Publish asthma ED visits by income bracket; track COPD hospitalizations by age group.</t>
  </si>
  <si>
    <t>Conduct intersectional analyses to understand overlapping vulnerabilities. Examples: Study exposure among low‑income seniors; analyze pollution burdens for disabled residents in industrial zones.</t>
  </si>
  <si>
    <t>Include qualitative community reports alongside quantitative datasets. Examples: Add odor complaints to refinery datasets; include residents’ noise logs near highways.</t>
  </si>
  <si>
    <t>Provide adequate computing infrastructure for advanced modeling and analyses. Examples: Offer cloud‑based workspaces for dispersion modeling; supply GPU resources for machine‑learning exposure estimates.</t>
  </si>
  <si>
    <t>Use open‑source tools for transparency and reproducibility. Examples: Use R for epidemiological models; use QGIS for mapping cumulative burdens.</t>
  </si>
  <si>
    <t>Model health risks using multi‑pollutant exposures and demographic factors. Examples: Estimate asthma risk increases from PM2.5 and NO2 combined; evaluate cardiovascular risks from long‑term ozone exposure.</t>
  </si>
  <si>
    <t>Publish metadata documenting methods, assumptions, and uncertainties. Examples: Provide calibration uncertainty for monitors; include model‑bias estimates in reports.</t>
  </si>
  <si>
    <t>Validate model results using independent datasets. Examples: Compare modeled PM2.5 to anchor monitors; compare modeled NO2 to satellite retrievals.</t>
  </si>
  <si>
    <t>Use epidemiological studies from comparable or local populations. Examples: Apply findings from a nearby county’s asthma cohort; use state‑level particulate‑mortality research.</t>
  </si>
  <si>
    <t>Assess which groups benefit most or least from new policies. Examples: Identify which neighborhoods saw the biggest PM2.5 drop after port electrification; determine which groups saw minimal improvement.</t>
  </si>
  <si>
    <t>Quantify distribution of benefits for vulnerable populations. Examples: Measure reductions in indoor PM2.5 for low‑income homes; calculate smoke‑day risk reductions for medically fragile residents.</t>
  </si>
  <si>
    <t>Evaluate how compliance and adaptation costs vary across groups. Examples: Study EV‑fleet upgrade costs for small delivery firms; analyze HVAC‑retrofit burdens for low‑income landlords.</t>
  </si>
  <si>
    <t>Provide formal feedback systems for residents to challenge assumptions. Examples: Online forms for disputing model results; structured review meetings to correct data errors.</t>
  </si>
  <si>
    <t>Provide real‑time alerts through multiple communication channels. Examples: SMS smoke alerts during wildfires; radio notices during industrial incidents.</t>
  </si>
  <si>
    <t>Offer community training workshops on air‑quality concepts and tools. Examples: Teach residents how to interpret PM2.5 graphs; train volunteers to maintain sensors.</t>
  </si>
  <si>
    <t>After assigning scores to all questions, you can directly upload this document into the online tool for visualization and identification of strengths and gaps as well as recommendations or examples to enhance and prepare your city's data ecosystem for equitable policy development.</t>
  </si>
  <si>
    <t>Are you willing to share your results with other C40 cities? (Yes/No)</t>
  </si>
  <si>
    <t>Develop a structured siting protocol that evaluates sensitive populations, land use, and pollution sources to ensure monitors are placed where health, social, economic inequities are highest. Examples: Install monitors near schools located by major roadways; add sensors in neighborhoods with high asthma hospitalization rates or high rates of joblessness or poverty.</t>
  </si>
  <si>
    <t>Include unions and community groups in siting workshops so occupational and local knowledge informs placement. Examples: Hold sessions with custodial worker unions to map indoor/outdoor hotspots; invite public housing tenant groups to identify overlooked pollution areas.</t>
  </si>
  <si>
    <t>Deploy more sensors in environmental justice neighborhoods where pollution varies block‑to‑block. Examples: Install sensors along heavy truck freight routes; add outdoor sensors around senior housing complexes affected by idling buses.</t>
  </si>
  <si>
    <t>Integrate all major emissions inventories, including industrial, commercial, and mobile sources, into a unified city emissions tracking database. Examples: Merge port cargo handling equipment emissions with truck movement data; integrate airport ground operations emissions into citywide inventory.</t>
  </si>
  <si>
    <t>Set up a reporting system where city residents can submit reports of emissions from small and unconventional sources that are often missed in inventories. Examples: Register generators used by food trucks; log emissions from small auto‑body shops using solvent‑based paints.</t>
  </si>
  <si>
    <t>Develop neighborhood- or block‑level demographic datasets to support granular equity analyses and pollutant‑exposure comparisons. Examples: Map block‑level renter density; compile household‑income distributions at sub‑neighborhood scales.</t>
  </si>
  <si>
    <t>Incorporate housing complaints and code enforcement requests as indicators of indoor air quality issues. Examples: Flag ventilation failure complaints; track mold reports as indicators of moisture‑driven air quality concerns.</t>
  </si>
  <si>
    <t>Integrate real‑time meteorological forecasts with pollution modeling for better short‑term predictions. Examples: Ingest hourly wind direction forecasts to predict smoke movement; apply inversion forecast data during winter stagnation periods; or simply record air temperature highs and lows alongside air quality data.</t>
  </si>
  <si>
    <t>Conduct accessibility audits and study barriers that limit public access to air quality information. Examples: Survey speakers of non-native languages about website usability; analyze whether mobile users can navigate the dashboard easily.</t>
  </si>
  <si>
    <t>Map clean‑air shelters and measure their accessibility by transit and walking. Examples: Identify libraries with HEPA filtration; evaluate whether shelters near industrial zones have transit service after 20:00 (8:00pm).</t>
  </si>
  <si>
    <t>Create secure, geocoded feeds of de‑identified health data to track pollution‑related illnesses. Examples: Receive weekly asthma‑related ER visit counts by neighborhood; map clinic visits for COPD exacerbations.</t>
  </si>
  <si>
    <t>Build an integrated hazard dashboard combining environmental, health, and exposure indicators. Examples: Show PM2.5 and ozone next to heat‑index alerts; visualize multi‑day wildfire smoke forecasts alongside hospital surge data.</t>
  </si>
  <si>
    <t>Acquire workforce and labor sector datasets to evaluate impacts of environmental policies on workers. Examples: Map diesel mechanic employment by racial or ethnic identity or country of origin; identify neighborhoods dependent on refinery‑related jobs.</t>
  </si>
  <si>
    <t>Hold co‑design workshops with workers and communities to shape labor data systems used in policy decisions. Examples: Host sessions with delivery drivers affected by zero emission zones; collaborate with warehouse workers on job quality indicators.</t>
  </si>
  <si>
    <t>Monitor economic indicators linked to environmental transitions to anticipate job shifts or cost burdens. Examples: Track employment changes after electrifying port drayage; monitor small business costs related to new emissions standards.</t>
  </si>
  <si>
    <t>Require job impact assessments for major clean air interventions to understand workforce consequences. Examples: Model job shifts from gas station closures; evaluate employment impacts of electrifying municipal fleets.</t>
  </si>
  <si>
    <t>Maintain a transparent registry documenting data gaps that hinder equity assessments. Examples: Note missing small business fuel use data; flag insufficient temporal coverage for neighborhood‑level PM2.5.</t>
  </si>
  <si>
    <t>Create a platform for uploading community‑generated observations, sensor data, or complaints. Examples: Let residents submit odor events via a mobile app; allow upload of community low‑cost PM2.5 sensor data.</t>
  </si>
  <si>
    <t>Use version‑controlled repositories to store datasets, code, and metadata. Examples: Maintain emissions inventory scripts in GitHub; track model update history through tagged releases.</t>
  </si>
  <si>
    <t>Establish formal agreements between departments to standardize data sharing. Examples: Sign a Memorandum of Understanding (MOU) enabling health and environment departments to share de‑identified health data; formalize sharing of traffic data from transportation agencies.</t>
  </si>
  <si>
    <t>Create standardized exports of air quality data to state-level or national authorities. Examples: Send monthly PM2.5 aggregates to the state air board; provide quarterly NO2 reports to national agencies.</t>
  </si>
  <si>
    <t>Share health and environmental disparity data with higher-level (e.g., state or national) governments to support funding and policy alignment. Examples: Report racial disparities in asthma to national environmental protection ministries; share cumulative burden maps with national environmental justice offices (if any).</t>
  </si>
  <si>
    <t>Import multi‑year regional datasets to strengthen long‑term analyses. Examples: Incorporate a decade of ozone data from state networks; use 15 years of PM2.5 trends from national sites.</t>
  </si>
  <si>
    <t>If possible, build APIs to ingest community sensor data with automated quality checks. Examples: Validate PurpleAir sensors using co‑located reference monitors; automatically remove spurious humidity‑driven spikes.</t>
  </si>
  <si>
    <t>Integrate long‑term environmental burden datasets into a unified GIS platform. Examples: Combine diesel truck corridor maps from 2010–2025; merge historical noise data with PM2.5 burdens.</t>
  </si>
  <si>
    <t>Link housing and indoor‑source datasets to understand compounded risks. Examples: Overlay gas stove prevalence with poor ventilation buildings; map old HVAC systems in wildfire smoke‑prone areas.</t>
  </si>
  <si>
    <t>Digitize historical zoning maps to understand legacy drivers of pollution patterns. Examples: Scan older industrial zoning maps.</t>
  </si>
  <si>
    <t>Connect emissions from specific sources to localized health outcomes. Examples: Link refinery SO2 levels to asthma visit clusters; map traffic‑related NO2 to cardiovascular incidents.</t>
  </si>
  <si>
    <t>Overlay demographic data on exposure maps to detect inequities. Examples: Compare PM2.5 by racial or ethnic identity (or country of origin, nativity, etc) across neighborhood units; examine ozone differences by income levels.</t>
  </si>
  <si>
    <t>Require demographic disaggregation across all environmental datasets. Examples: Break pollution exposure by age groups under 5 and over 65; map burdens for households with non-native language speakers.</t>
  </si>
  <si>
    <t>Disaggregate labor and economic datasets to reveal inequities. Examples: Analyze job quality for port truck drivers by education; compare wages for workers in high pollution industries.</t>
  </si>
  <si>
    <t>Use community sensors to refine source attribution and exposure tracking. Examples: Detect truck traffic PM spikes during peak hours; identify smoke intrusions during backyard burning.</t>
  </si>
  <si>
    <t>Standardize spatial and temporal units across datasets for comparability. Examples: Convert all PM measurements to hourly averages (if possible); align demographic data to the same neighborhood boundaries.</t>
  </si>
  <si>
    <t>Conduct before‑and‑after policy analyses to measure real‑world impact. Examples: Compare PM2.5 (or total truck traffic) before and after truck‑route changes; assess ozone improvements after industrial emission reductions.</t>
  </si>
  <si>
    <t>Apply data fusion methods combining monitors, satellites, and models. Examples: Use AOD satellite‑derived PM2.5 blended with ground data; integrate WRF‑Chem outputs with local sensors.</t>
  </si>
  <si>
    <t>Use locally relevant concentration‑response functions for health analyses. Examples: Apply neighborhood‑specific asthma incidence–PM2.5 coefficients if available; use local cardiovascular response functions.</t>
  </si>
  <si>
    <t>Publish regularly updated population and health baseline datasets. Examples: Release 2026 population denominators; update asthma incidence base rates yearly.</t>
  </si>
  <si>
    <t>Stratify policy impact analyses across demographic groups. Examples: Evaluate benefits of a wood stove ban by income quartile; assess exposure reductions among children after street redesign.</t>
  </si>
  <si>
    <t>Track multi‑year trends in environmental and health disparities. Examples: Monitor 15‑year NO2 inequity trends; track long‑term changes in asthma rates in environmental justice communities.</t>
  </si>
  <si>
    <t>Analyze how environmental burdens differ across communities. Examples: Compare highway noise levels across census tracts; evaluate heat risk disparities in tree‑poor neighborhoods.</t>
  </si>
  <si>
    <t>Create resident interpretation panels to review findings. Examples: Hold quarterly map review sessions with community reps; invite residents to annotate exposure graphs.</t>
  </si>
  <si>
    <t>Publish health improvements after interventions. Examples: Report fewer asthma visits following roadway redesign (if any); show reduced ER visits after indoor air filter installations (if any).</t>
  </si>
  <si>
    <t>Maintain a public open data portal for real‑time and historical air data. Examples: Post daily PM2.5 levels downloadable in CSV; provide multi‑year pollutant trend files.</t>
  </si>
  <si>
    <t>Co‑design public‑facing platforms with accessibility and multilingual features. Examples: Offer Spanish and Chinese versions of dashboards (or versions in other locally relevant languages); make mobile friendly visualizations.</t>
  </si>
  <si>
    <t>Track engagement metrics to evaluate communication effectiveness. Examples: Count app downloads during wildfire season; measure webpage visits on high pollution days.</t>
  </si>
  <si>
    <t>Hold public meetings and publish plain language summaries of results. Examples: Quarterly briefings with neighborhood groups; infographics explaining new regulations.</t>
  </si>
  <si>
    <t>Provide multilingual, accessible translations of data and visualizations. Examples: Infographics in Spanish and Vietnamese (or other locally relevant languages); audio versions for visually impaired residents.</t>
  </si>
  <si>
    <t>Include community and business leaders in data governance structures. Examples: Invite trucking company reps to advisory committees; include environmental justice organizations in decision meetings.</t>
  </si>
  <si>
    <t>Ensure government staff have training and access to high quality datasets. Examples: Provide GIS training to health department analysts; teach environmental staff how to query emissions databases.</t>
  </si>
  <si>
    <t>Include equity organizations in data system co‑design and capacity building. Examples: Collaborate with environmental justice nonprofits; train neighborhood coalitions in data interpretation.</t>
  </si>
  <si>
    <t>Conduct targeted outreach to communities most affected by pollution. Examples: Distribute wildfire smoke flyers in frontline neighborhoods; host tabling events at local markets.</t>
  </si>
  <si>
    <t>Form a joint data council linking health, environment, labor, and community stakeholders with formal decision power. Examples: Monthly cross‑agency council meetings; annual community review sessions for priority setting.</t>
  </si>
  <si>
    <t xml:space="preserve">       Data-sharing partnerships &amp; management tools</t>
  </si>
  <si>
    <t xml:space="preserve">       City/institutional buy-in, capacity building &amp; training</t>
  </si>
  <si>
    <t xml:space="preserve">       Public support &amp; engagement</t>
  </si>
  <si>
    <t xml:space="preserve">       Health &amp; economic impact modeling</t>
  </si>
  <si>
    <t xml:space="preserve">       Estimating air pollution</t>
  </si>
  <si>
    <t xml:space="preserve">       Source &amp; emission inventories</t>
  </si>
  <si>
    <t xml:space="preserve">       Technical Capability</t>
  </si>
  <si>
    <t xml:space="preserve">       Data Integration</t>
  </si>
  <si>
    <t xml:space="preserve">       Internal processes</t>
  </si>
  <si>
    <t xml:space="preserve">       Participation and Empowerment</t>
  </si>
  <si>
    <t xml:space="preserve">       Distributional Equity</t>
  </si>
  <si>
    <t xml:space="preserve">       Socioeconomic Resilience and Opportunity</t>
  </si>
  <si>
    <t xml:space="preserve">       Access and Inclusivity</t>
  </si>
  <si>
    <t>Notes</t>
  </si>
  <si>
    <t>This is an optional activity to further explore and understand the results of your assessment as well as access recommendations related to different categories, domains, and/or equity themes. To investigate a particular area of interest, use the dropdown arrows in the right-hand columns (cells H7-T7) and check '1' (uncheck 'Blanks') for the areas you are interested in learning more about. See Figure at right to see an example of how to filter. The resulting questions shown will be directly relevant to the areas you have selected to filter.</t>
  </si>
  <si>
    <t>Must be 'Yes' for upload to web app</t>
  </si>
  <si>
    <t>Required for upload to web app</t>
  </si>
  <si>
    <t>[1] Additional descriptions on categories, domains, and themes of equity used throughout this tool</t>
  </si>
  <si>
    <t>How to score your answers</t>
  </si>
  <si>
    <t>Self-assessment and recommendations tool</t>
  </si>
  <si>
    <t>Please read the following information carefully before you start your self-assessment.</t>
  </si>
  <si>
    <t>Introduction</t>
  </si>
  <si>
    <t>Contents of this assessment</t>
  </si>
  <si>
    <t>Considerations before you start</t>
  </si>
  <si>
    <t>Rationale behind the questions</t>
  </si>
  <si>
    <t>Additional descriptions on categories, domains, and themes of equity used throughout this tool</t>
  </si>
  <si>
    <t>Answering the questions</t>
  </si>
  <si>
    <t>Self-scoring is necessary as you have the best knowledge of your own city’s capacities. The scoring scale for all questions is described at the top of the 'self-assessment' tab.</t>
  </si>
  <si>
    <t>You can find a more detailed description of the scoring system in the 'self-assesment' tab</t>
  </si>
  <si>
    <t>As you make progress in developing your city's data ecosystem for equitable air quality policies, you are encouraged to redo this assessment again in the future and reflect on growth over time.</t>
  </si>
  <si>
    <t>Further Reading</t>
  </si>
  <si>
    <t>Self-Assessment</t>
  </si>
  <si>
    <t>Additional important questions to consider (expand using [+] on left)</t>
  </si>
  <si>
    <t>exposure-response datasets</t>
  </si>
  <si>
    <t>concentration-response functions</t>
  </si>
  <si>
    <t>high spatial resolution</t>
  </si>
  <si>
    <t xml:space="preserve">high-risk groups </t>
  </si>
  <si>
    <t>cumulative impacts</t>
  </si>
  <si>
    <t>data gaps</t>
  </si>
  <si>
    <t>historical underinvestment</t>
  </si>
  <si>
    <t>area-level variables</t>
  </si>
  <si>
    <t>joblessness rates</t>
  </si>
  <si>
    <t>real-time meteorological forecast data</t>
  </si>
  <si>
    <t>data systems</t>
  </si>
  <si>
    <t>air quality interventions</t>
  </si>
  <si>
    <t>bias-correct model predictions</t>
  </si>
  <si>
    <t>data pipeline</t>
  </si>
  <si>
    <t>distributional fairness</t>
  </si>
  <si>
    <t>equity impacts</t>
  </si>
  <si>
    <t>health and economic impact/disparities</t>
  </si>
  <si>
    <t>satellite products</t>
  </si>
  <si>
    <t>disaggregate</t>
  </si>
  <si>
    <t xml:space="preserve">data fusion techniques </t>
  </si>
  <si>
    <t>epidemiological literature</t>
  </si>
  <si>
    <t>economic impact assessments</t>
  </si>
  <si>
    <t>health impact assessments</t>
  </si>
  <si>
    <t>just energy transition</t>
  </si>
  <si>
    <t>spatially and temporally aligned (i.e., “harmonized”)</t>
  </si>
  <si>
    <t>Does your city track and make available data on cumulative impacts to health and equity (e.g., drinking water quality, pesticide use, chemical exposures)?</t>
  </si>
  <si>
    <t>sociodemographic characteristics</t>
  </si>
  <si>
    <t>*Are health risks from air pollution explicitly modeled for multiple sociodemographic characteristics, and do these risks consider non-chemical stressors?</t>
  </si>
  <si>
    <t xml:space="preserve">Socioeconomic Resilience and Opportunity										</t>
  </si>
  <si>
    <t>0   No implementation or unknown.</t>
  </si>
  <si>
    <t>1   Limited implementation. Pilot work is underway related to some aspects of this question, but it is not sustainable or will not provide long-term actionable insights.</t>
  </si>
  <si>
    <t>2   Partial implementation. There is operational work related to this question that is ongoing but may be limited in terms of equity integration (e.g., it has not reached marginalized neighborhoods or cannot fully quantify or address potential disparities).</t>
  </si>
  <si>
    <t xml:space="preserve">3   Full implementation. Long-term, sustainable, and transparent ability to address this question. Equity is given full consideration with disaggregation (when applicable) across multiple characterizations (i.e., demographic, socioeconomic). </t>
  </si>
  <si>
    <t xml:space="preserve">   Other city (write here, formatted as "Country - City")</t>
  </si>
  <si>
    <t>*Has your city established partnerships and processes to share air quality data with relevant officials in other levels of government, including state / provincial and national levels, that affect your city?
Relevant officials may include those in ministries of health, public health, environment, transportation, economic development, infrastructure, and others.</t>
  </si>
  <si>
    <t>*Has your city established partnerships and processes to share health and economic impact/disparities data with relevant officials in other levels of government, including state / provincial and national levels, that affect your city?
Relevant officials may include those in ministries of health, public health, environment, transportation, economic development, infrastructure, and others.</t>
  </si>
  <si>
    <t>*Does your city link source-specific emissions monitoring data to health and economic datasets?
For example, traffic-related NO2 data could be linked with childhood asthma rates, or shipping sulfur data could be linked with respiratory hospitalizations.</t>
  </si>
  <si>
    <t>*Does your city disaggregate air pollution, environmental, health, and economic data by multiple sociodemographic characteristics simultaneously?
For example, some cities may disaggregate air pollution exposure by one characteristic (e.g., nativity) at a time. However, more detailed equity analyses consider the impact of intersecting facets of identity and social position. As such, they may disaggregate data based on two or more characteristics (e.g., nativity and poverty status) at the same time.
In these cases, you might consider how air pollution exposure differs among, for example, low-income migrant residents, high-income migrant residents, low-income native residents, and high-income native residents.</t>
  </si>
  <si>
    <t xml:space="preserve">*Do your city’s analyses incorporate spatially and temporally aligned (i.e., “harmonized”) demographic, air quality, health, and economic outcome data?
In other words, if you use demographic, air quality, health, and economic data in your analyses, were the various types of data collected during the same time period and at the same spatial scale (for example., street-level, neighborhood-level, city-level, province-level, etc.)? </t>
  </si>
  <si>
    <t xml:space="preserve">Do models incorporate local source contributions to identify drivers of inequitable exposures using resident-collected air quality data that is integrated with official datasets? </t>
  </si>
  <si>
    <t>*Does your city have access to computing resources including computers and statistical analysis software (e.g., R, SAS, or similar software, as well as GIS software) that can (1) process large-scale datasets and (2) estimate differences in air pollution risks across different population groups?
It is important that these computing resources are powerful enough to handle large datasets and to estimate how health and economic outcomes are affected by air pollution (i.e., so-called “exposure-response datasets and risk models”).</t>
  </si>
  <si>
    <t>*Are local community members and business leaders actively engaged in decision-making regarding data sources, data use, and data analyses, not just consulted after the fact?</t>
  </si>
  <si>
    <t>Does the city have a clear mechanism to engage marginalized groups or their representatives  in (1) evaluating,  inputting on—or objecting to—the data collected and assumptions underpinning equity impact analyses  and (2) shaping how this information is used to inform targeted policy design, implementation and monitoring?</t>
  </si>
  <si>
    <t>Are communities meaningfully engaged in governance and capacity-building on issues related to data sources, data use, and data analysis, and management alongside technical agencies as key partners and knowledge bearers?</t>
  </si>
  <si>
    <t>Are health sector and community organizations able to influence and actively engaged in decision-making regarding data sources, data analyses and data use for targeting, designing, implementing and monitoring policies, as well as communication -- not just consulted after the fact?</t>
  </si>
  <si>
    <t>*Does your city collect/have access to air pollution data at high spatial and temporal resolution, especially in areas of concern and prioritize high risk groups (e.g., children, elderly, underinvested neighborhoods)?
Spatial and temporal resolution should be high enough to identify specific neighborhoods and other areas of your city that are disproportionately impacted by air pollution.</t>
  </si>
  <si>
    <t>*Does your city collect/have access to air pollution data from point, area, and mobile sources, including power plants, shipping lanes, transportation hubs and routes, and industrial areas?</t>
  </si>
  <si>
    <t>*Does your city collect/have access to real-time meteorological forecast data for your city and the surrounding areas?
Meteorological data can be important both for air quality monitoring and for alerting residents to potential health hazards. Such data is particularly important for cities that experience extreme weather events.</t>
  </si>
  <si>
    <t>*Does your city collect/have access to data on the combined impacts of air quality interventions on employment in economically disadvantaged communities?
For example, are potential job losses or gains due to air quality interventions monitored?
For this question, consider all types of “air quality interventions,”, including transitions to clean (or cleaner) energy, clean (or cleaner) transportation, clean (or cleaner) waste management systems, or any other policy or program meant to reduce air pollution.</t>
  </si>
  <si>
    <t>Does your city collect/have access to data on indoor air quality proxy measures?
“Proxy measures” include any data points that indicate potential indoor air quality problems. For example, mold complaints or mold abatement requests can indicate homes with poor indoor air quality.</t>
  </si>
  <si>
    <t>Do you collect/have access to data on how air quality-related costs (such as energy or transportation expenses) affect households and businesses?</t>
  </si>
  <si>
    <t>Does your city collect/have access to data to track economic transitions related to air quality (e.g., shifts in employment, consumer prices, small business closures/openings)?</t>
  </si>
  <si>
    <t>Does the city or sponsor collect/have access to long-term air quality monitoring data from national or state / provincial governments?
By “long-term,” this question refers to data collected over several years. Ideally, this data will be at high spatial and temporal (e.g., daily) resolution as well.</t>
  </si>
  <si>
    <t>*Does your city collect/have access to data on accessibility that can characterize inequities for specific high-risk populations, such as low-income or elderly populations?
For this question, “accessibility” refers to whether all city residents–regardless of their physical or intellectual abilities–can interact with the information on air quality and related issues that you provide.</t>
  </si>
  <si>
    <t>Are smaller, un-inventoried, unconventional, hyper-local, or illegal sources of air pollution tracked by your city, preferably in consultation with marginalized communities and high risk groups?
Such sources may include backyard burning or unlicensed chemical use.</t>
  </si>
  <si>
    <t>Are members of communities that are disproportionately impacted by air pollution engaged in the design and review of data systems that monitor labor market data and other job-related outcomes?
For this question, “job-related” outcomes include opportunities to participate in job retraining, job placement, and green job creation programs.
This is important because air quality policies may not be equitable if they result in economic hardship for high-risk groups. Instead, equitable air quality policies should provide benefits to high-risk groups, including economic and job-related benefits.</t>
  </si>
  <si>
    <t>*Does your city map historical data (e.g., data over many years) on environmental burdens (air pollution, heat waves, floods, chemical exposures, etc.) and sociodemographic characteristics (including poverty rates, migration status, race / ethnicity of residents, etc.) across neighborhoods? 
Put differently, can you visualize on a map the number of environmental burdens each neighborhood in your city has experienced over time to understand whether and where high-risk groups may face higher levels of total environmental burdens?
Burdens may include floods, heat waves, toxic chemical contamination, and other environmental burdens?</t>
  </si>
  <si>
    <t>*Is your city able to disaggregate air quality data to measure how different groups in your city–and particularly marginalized communities and high-risk groups–are exposed to different levels of air pollution?
This process generally requires cities to be able to link and map sociodemographic and air pollution data, and to understand both (1) how air pollution differs across neighborhoods and (2) sociodemographic characteristics of groups living in highly polluted neighborhoods.</t>
  </si>
  <si>
    <t>*Are analyses stratified by sociodemographic characteristics to assess whether high-risk groups benefit equally from interventions?</t>
  </si>
  <si>
    <t>*Do evaluations attempt to assess whether health and economic disparities among marginalized communities (compared to communities who are not marginalized) from air pollution and air quality policies are narrowing or widening over time?</t>
  </si>
  <si>
    <t>*Are health and equity outcomes among marginalized communities or high-risk groups (children, elderly, people with chronic illness) explicitly quantified?</t>
  </si>
  <si>
    <t>People who are more likely to be harmed by air pollution, such as children, older adults, people with chronic diseases, or pregnant people.</t>
  </si>
  <si>
    <t>marginalized communities</t>
  </si>
  <si>
    <t>Are mechanisms in place to ensure that the data and findings used for just energy transition planning and air quality policy implementation are communicated to and validated by marginalized community members relevant to your city and context?</t>
  </si>
  <si>
    <t xml:space="preserve">*Does your city have programs or policies to ensure that members from marginalized communities, high-risk groups, or areas disproportionately impacted by air pollution are engaged in decisionmaking about how to interpret and analyze air pollution data from your city? </t>
  </si>
  <si>
    <t>Are members from marginalized communities or high-risk groups–or from areas disproportionately impacted by air pollution in your city–engaged in decisionmaking about where to locate air pollution monitors?
Marginalized community members may include low-income residents, racial or ethnic minority groups, migrants, linguistic minorities, religious minorities, Indigenous peoples, women, or any other oppressed or disenfranchised group.</t>
  </si>
  <si>
    <t>air pollution model data (rather than monitor-based data)</t>
  </si>
  <si>
    <t>Data that show how different levels of pollution exposure are associated with changes in health outcomes (e.g., hospital visits, deaths).</t>
  </si>
  <si>
    <t>Mathematical relationships that estimate how much a health outcome changes when air pollution concentrations increase or decrease by a certain amount.</t>
  </si>
  <si>
    <t>Data that are mapped to small geographic units (e.g., generally census blocks or neighborhoods), allowing you to see fine-scale differences across communities.</t>
  </si>
  <si>
    <t>Communities that have been socially, economically, or politically excluded or disadvantaged, often experiencing higher pollution and fewer resources.</t>
  </si>
  <si>
    <t>collect/have access to</t>
  </si>
  <si>
    <t>The ability to obtain, store, and use data, including whether communities, agencies, and researchers can realistically access and work with the information.</t>
  </si>
  <si>
    <t>The combined effects of multiple stressors (e.g., air pollution, other environmental hazards, and social/economic burdens) on people and communities over time.</t>
  </si>
  <si>
    <t>Population features such as income, race/ethnicity, language, age, education, and housing status that can shape vulnerability to pollution.</t>
  </si>
  <si>
    <t>Long-term patterns where certain communities have received fewer resources and infrastructure (e.g., transit, green space, clean energy), often due to discriminatory policies.</t>
  </si>
  <si>
    <t>How detailed data are in space (geography) and time (e.g., neighborhood vs. city; hourly vs. yearly averages).</t>
  </si>
  <si>
    <t>spatial and temporal resolution</t>
  </si>
  <si>
    <t>Measures that describe characteristics of a place (e.g., neighborhood poverty rate, housing density) rather than individual people.</t>
  </si>
  <si>
    <t>The proportion of people in an area who are unemployed or not working, often used as an indicator of economic vulnerability.</t>
  </si>
  <si>
    <t>Up-to-date weather predictions (e.g., wind, temperature, humidity) which may be incorporated to model and forecast air pollution.</t>
  </si>
  <si>
    <t>The tools, databases, standards, and processes used to collect, store, integrate, and share data across agencies or organizations.</t>
  </si>
  <si>
    <t>Policies or actions taken to reduce air pollution or people’s exposure to it (e.g., emission controls, traffic restrictions, cleaner fuels).</t>
  </si>
  <si>
    <t>The end-to-end process by which data are collected, cleaned, merged, analyzed, and turned into information for decision-making.</t>
  </si>
  <si>
    <t>The extent to which the benefits (e.g., cleaner air) and burdens (e.g., remaining pollution) of policies are shared equitably across different groups and places.</t>
  </si>
  <si>
    <t>How a policy or intervention changes conditions for different groups, especially whether it reduces or worsens existing inequalities.</t>
  </si>
  <si>
    <t>Differences between groups in health outcomes (e.g., asthma, heart disease) and economic outcomes (e.g., healthcare costs, lost work days) related to air pollution.</t>
  </si>
  <si>
    <t>Air quality, meteorological, and environmental data derived from satellite measurements, often used to estimate pollution in areas without ground monitors.</t>
  </si>
  <si>
    <t>Pollution estimates produced by computer models (using emissions, weather, and other inputs) instead of only relying on measurements from physical monitoring stations.</t>
  </si>
  <si>
    <t>Combine datasets (e.g., pollution, health, and sociodemographic data) using a common key such as location or time to enable integrated analysis.</t>
  </si>
  <si>
    <t>Break down data into smaller groups (e.g., by race/ethnicity, income, age, or neighborhood) to reveal differences that are hidden in averages.</t>
  </si>
  <si>
    <t>Making sure different datasets use compatible locations and time periods so they can be accurately combined and compared</t>
  </si>
  <si>
    <t>Statistical or computational methods that blend multiple data sources (e.g., monitors, models, satellites) to produce more accurate and complete pollution estimates.</t>
  </si>
  <si>
    <t>Scientific studies that examine how exposures (like air pollution) are related to health outcomes in human populations.</t>
  </si>
  <si>
    <t>Analyses that estimate the monetary costs and benefits of air pollution and related policies (e.g., healthcare costs avoided, productivity gains).</t>
  </si>
  <si>
    <t>Analyses that estimate how changes in pollution or policies will affect health outcomes (e.g., cases of asthma or premature deaths avoided).</t>
  </si>
  <si>
    <t>Shifting from fossil fuels to cleaner energy in ways that are fair, protect workers and vulnerable communities, and reduce existing inequities.</t>
  </si>
  <si>
    <t>disproportional impacts of air pollution</t>
  </si>
  <si>
    <t>Glossary of terms</t>
  </si>
  <si>
    <t>Adjusting model-based estimates to reduce systematic errors (biases) so that predictions better match observed data.</t>
  </si>
  <si>
    <t>Important information that is missing, incomplete, biased, or not collected at all, making it hard to fully assess pollution or equity impacts.</t>
  </si>
  <si>
    <t>When certain groups or communities experience more harm from air pollution than others (e.g., higher exposure, worse health outcomes, or greater economic burden) especially when those groups are already socially or economically disadvantaged.</t>
  </si>
  <si>
    <t xml:space="preserve">link/harmonize data </t>
  </si>
  <si>
    <t>Glossary of Terms</t>
  </si>
  <si>
    <t>gender/sex</t>
  </si>
  <si>
    <t xml:space="preserve">“Gender” is the socially constructed set of characteristics that people identify with e.g. norms, roles and relationships of and between groups. "Sex" refers to biological sex at birth, e.g., male, female, etc. Many government entities do not collect data on gender separately from sex, or they use gender and sex interchangeably. However, although "gender" interacts with biological "sex", it is a concept distinct from the binary sex categories assigned at birth. 
For equity data, we encourage cities to use gender data if available. However, if gender-disaggregated data is unavailable, sex-disaggregated data is highly recommended. In this tool, questions reference 'sex' when relevant to data disaggregation and 'gender' when relevant to data analysis and subsequent health and equity considerations for policy making. </t>
  </si>
  <si>
    <t>Notes and actions taken</t>
  </si>
  <si>
    <r>
      <rPr>
        <b/>
        <sz val="11"/>
        <color theme="1"/>
        <rFont val="Figtree"/>
      </rPr>
      <t xml:space="preserve">Notes: </t>
    </r>
    <r>
      <rPr>
        <sz val="11"/>
        <color theme="1"/>
        <rFont val="Figtree"/>
      </rPr>
      <t xml:space="preserve">
- If a question is not applicable to your city, leaving the score blank will exclude it from scoring.
- You may assign fractional scores (e.g., 2.5) if you fall between two scores. 
- Questions you believe are best answered using a yes or no can be scored as 3 (yes) or 0 (no).</t>
    </r>
  </si>
  <si>
    <t>Self-scoring is necessary as you have the best knowledge of your own city’s capacities. The scoring scale for all questions is described as follows.</t>
  </si>
  <si>
    <r>
      <t xml:space="preserve">The EQuiPD self-assessment contains 80 questions regarding data in our city. These questions are broken down across how data is collected, linked, disaggregated and integrated, analyzed, and communicated. Your responses to these questions will be used to calculate scores across six categories within four ecosystem domains and three themes of equity (see [1] for more detail). As you make progress in developing your city's data ecosystem for equitable air quality policies, you are encouraged to redo this assessment again in the future and reflect on growth over time.
</t>
    </r>
    <r>
      <rPr>
        <i/>
        <sz val="11"/>
        <color theme="1"/>
        <rFont val="Figtree"/>
      </rPr>
      <t>**Note: Questions marked '*' are essential to answer and should not be skipped (these are listed first). Other questions (expandable with [+] on left of screen) will help add nuance for EQuiPD to understand your city's policy and data ecosystem and are highly recommended to answer.</t>
    </r>
  </si>
  <si>
    <r>
      <rPr>
        <b/>
        <u/>
        <sz val="11"/>
        <color theme="1"/>
        <rFont val="Figtree"/>
      </rPr>
      <t>Finished?</t>
    </r>
    <r>
      <rPr>
        <u/>
        <sz val="11"/>
        <color theme="1"/>
        <rFont val="Figtree"/>
      </rPr>
      <t xml:space="preserve"> Visit the 'Scoring' tab to see your results</t>
    </r>
  </si>
  <si>
    <t>*Does your city collect/have access to health outcome data at high spatial and temporal resolution?
For example, does it collect/have access to data on the number of daily visits to specific clinics or hospitals (and the causes for those visits), or the number of child absences from city schools?
“High spatial resolution” means that you know the approximate location (residential address, address of medical facility, or neighborhood) of the health event.
“High temporal resolution” means daily or, at a minimum, weekly counts, though yearly counts can still be helpful when modeling the impacts of air pollution policies over long periods of time.
Note: this question only asks whether the city government collect/have access to this data directly. Separate questions later in the questionnaire will ask about data sharing with hospitals, ministries of health, and other groups that may have health data.</t>
  </si>
  <si>
    <t>*Does your city collect/have access to data regarding the type of energy sources (coal, oil, gas, renewables, etc.) used by households in your city, as well as the location and number of such households?
For example, do you know the location and number of households that have access to “clean energy,” which includes energy sources that produce no greenhouse gas emissions during their production or use?</t>
  </si>
  <si>
    <t>*Does your city collect/have access to data on the accessibility of clean air shelters or green zones for high-risk groups? Specifically, can you analyse access via low-pollution routes (e.g., green corridors, public transit) versus high-exposure routes?</t>
  </si>
  <si>
    <t>*Does your city collect/have access to detailed social, demographic, and economic data about its residents and where they live?
These datasets might include resident age, sex, income, migration status, county of origin, racial or ethnic identity, religious affiliation, primary language spoken, education level, employment status, and occupation. They might also include area-level variables like poverty rates or joblessness rates.
This data is critical to understanding the sociodemographic composition of neighborhoods and how some groups might be affected by air pollution and air quality policies more than others.</t>
  </si>
  <si>
    <t>*Does your city collect/have access to labor market data (e.g., by sex, race/ethnicity, age, region, occupation) on current workforce composition, sectoral vulnerabilities related to air quality policies and energy transitions, and potential for participation in green job sectors?</t>
  </si>
  <si>
    <t>*Does your city systematically keep track of and report track and report data gaps (for example, missing, unavailable, or non-disaggregated data, such as lack of sex breakdown) in its datasets that might disproportionately impact marginalized communities?
For this question, “datasets” include all datasets relevant to equity analyses, such as data on health burdens, employment opportunities, economic activity, accessibility (e.g., transportation), etc.</t>
  </si>
  <si>
    <t>*Are all health outcomes related to air pollution exposure disaggregated by sociodemographic characteristics such as race, income, age, sex (and where possible gender), and geography?</t>
  </si>
  <si>
    <t>v260306</t>
  </si>
  <si>
    <r>
      <t xml:space="preserve">Impactful and fair clean air policy making is not just about having good air quality data. It's also about a city's ability to collect, share, model, integrate, communicate and validate that data across different disciplines and audiences -  especially those likely to be affected by the policy. This is what makes up an </t>
    </r>
    <r>
      <rPr>
        <i/>
        <sz val="11"/>
        <color theme="1"/>
        <rFont val="Figtree"/>
      </rPr>
      <t xml:space="preserve">Equity in Air Quality Policy and Data Ecosystem (EQuiPD). </t>
    </r>
  </si>
  <si>
    <t xml:space="preserve">Read more about these 5 opportunities: </t>
  </si>
  <si>
    <t>Designing inclusive and equitable air quality policies is a major opportunity for cities as the benefits of such policies have the potential to deliver on broader city goals such as:
1. Reducing health inequities
2. Improving accessibility, wellbeing, and resilience
3. Delivering fair green jobs and a just transition
4. Tackling cost of living challenges and supporting local economies
5. Empowering and building coalitions of clean air advocates and allies</t>
  </si>
  <si>
    <t xml:space="preserve">
Clean air, healthy and thriving communities: Opportunities for city leadership</t>
  </si>
  <si>
    <t xml:space="preserve">The EQuiPD self-assessment tool will help your team diagnose and identify what is working well - and what is missing - within your city's data ecosystem. </t>
  </si>
  <si>
    <t xml:space="preserve">Read more about ambitious air quality policy making: </t>
  </si>
  <si>
    <t>As a result of the self-assessment you will recieve tailored recommendations on how to strengthen: your city’s underlying data resources, technical capacities to manage and process data, and partnerships for sharing and integrating air quality, health and equity data, which together compliment your city’s efforts to ensure more equitable policy outcomes - that are sustainable and reach more people, leaving no one behind.
These recommendations will equip your team with the evidence and rationale to ask the right questions and obtain resources and capacities to improve the ecosystem.</t>
  </si>
  <si>
    <t xml:space="preserve">
Clean Air, Healthy Planet: A framework for integrating air quality management and climate action planning </t>
  </si>
  <si>
    <r>
      <rPr>
        <b/>
        <sz val="11"/>
        <color theme="1"/>
        <rFont val="Figtree"/>
      </rPr>
      <t>Please note:</t>
    </r>
    <r>
      <rPr>
        <sz val="11"/>
        <color theme="1"/>
        <rFont val="Figtree"/>
      </rPr>
      <t xml:space="preserve"> The scope of this tool is limited to evaluating data specific skills and capacities within a city, which include community engagement as far as data collection, validation and application to policy are concerned.</t>
    </r>
  </si>
  <si>
    <t xml:space="preserve">Read more about meanignful community engagement in climate action planning: </t>
  </si>
  <si>
    <t>However, this aspect of the tool should not be considered stand-alone; these questions and recommendations should fit within a city's broader framework that supports inclusive community engagement and empowerment processes to co-deliver ambitious action with residents.</t>
  </si>
  <si>
    <t>The Spectrum of Community Engagement to Ownership</t>
  </si>
  <si>
    <t>For further guidance on inclusive and meaningful community engagement in air quality policy making, users of this tool are encouraged to consult other tools and resources that engage more deeply with the nuances, complexities and best practices of centering communities in clean air decision making.</t>
  </si>
  <si>
    <t>Inclusive Community Engagement Playbook</t>
  </si>
  <si>
    <t>Please note</t>
  </si>
  <si>
    <t xml:space="preserve">In this assessment section you will find: 
- an overview/ introduction (not editable), 
- a section on how to use the self-assessment tool (not editable), 
- a list of self-assessment questions (editable), a scoring section (not editable - this gets filled out automatically once a city completes the self-assessment in tab 1); 
- and recommendations (not editable - this gets filled out automatically once a city completes the self-assessment in tab 1); 
- a definitions and glossary of terms (not editable, for awareness only); 
- a reference on QCount (not editable, for information only); 
- a scoring table (not editable - this gets filled out automatically once you complete the self-assessment and is the backend calculator that drives the graph/figure shown on the ’scoring’ tab.)										</t>
  </si>
  <si>
    <r>
      <rPr>
        <sz val="14"/>
        <color theme="1"/>
        <rFont val="Figtree"/>
      </rPr>
      <t xml:space="preserve">The only section that you are required to fill in and edit is:
</t>
    </r>
    <r>
      <rPr>
        <b/>
        <sz val="14"/>
        <color theme="1"/>
        <rFont val="Figtree"/>
      </rPr>
      <t xml:space="preserve">
Column D
 </t>
    </r>
    <r>
      <rPr>
        <sz val="14"/>
        <color theme="1"/>
        <rFont val="Figtree"/>
      </rPr>
      <t>in the ‘self-assessment’ tab 
Everything else is filled out automatically.</t>
    </r>
  </si>
  <si>
    <t xml:space="preserve">A PDF with high level information and the full list of questions is also available in case you want to see an overview of the key elements found within the tool.You can download the PDF from the same platform where you accessed this excel document. 
Please note that C40 is continuously improving this tool.  If you wish to share suggestions for feedback or improvement, please email the Air Quality team at C40: c40airqualityteam@c40.org					</t>
  </si>
  <si>
    <r>
      <t xml:space="preserve">It is recommended that your team fills out as many sections as possible.
(a) </t>
    </r>
    <r>
      <rPr>
        <b/>
        <sz val="11"/>
        <color theme="1"/>
        <rFont val="Figtree"/>
      </rPr>
      <t xml:space="preserve">The questions: </t>
    </r>
    <r>
      <rPr>
        <sz val="11"/>
        <color theme="1"/>
        <rFont val="Figtree"/>
      </rPr>
      <t xml:space="preserve">There are up to 80 questions in the tool. The questions are grouped into 'must have' and 'additional' questions. 
We strongly recommend that you complete the 'additional' questions because they add critical nuance for  understanding your city's policy and data ecosystem capacities.  To access the 'additional' questions, use the expansion feature marked with a (+) on the left of the excel sheet.
(b) </t>
    </r>
    <r>
      <rPr>
        <b/>
        <sz val="11"/>
        <color theme="1"/>
        <rFont val="Figtree"/>
      </rPr>
      <t xml:space="preserve">Your schedule: </t>
    </r>
    <r>
      <rPr>
        <sz val="11"/>
        <color theme="1"/>
        <rFont val="Figtree"/>
      </rPr>
      <t xml:space="preserve">Consider filling out each section at different stages and times in your schedule over one week. 
(b) </t>
    </r>
    <r>
      <rPr>
        <b/>
        <sz val="11"/>
        <color theme="1"/>
        <rFont val="Figtree"/>
      </rPr>
      <t xml:space="preserve">Enjoy the dialogue: </t>
    </r>
    <r>
      <rPr>
        <sz val="11"/>
        <color theme="1"/>
        <rFont val="Figtree"/>
      </rPr>
      <t xml:space="preserve">You may need to seek out colleagues in your - or other - department(s). The purpose of the tool is to also encourage you to break silos and work across air quality, health, economic,  social and any other departments you deem relevant. </t>
    </r>
  </si>
  <si>
    <t>How the questions are designed</t>
  </si>
  <si>
    <r>
      <t xml:space="preserve">The 80 questions are broken down across different </t>
    </r>
    <r>
      <rPr>
        <b/>
        <sz val="11"/>
        <color theme="1"/>
        <rFont val="Figtree"/>
      </rPr>
      <t>categories</t>
    </r>
    <r>
      <rPr>
        <sz val="11"/>
        <color theme="1"/>
        <rFont val="Figtree"/>
      </rPr>
      <t xml:space="preserve"> of a data ecosystem: (a) how data is collected, (b) linked, (c) disaggregated and integrated, (d) analyzed, and (e) communicated.</t>
    </r>
  </si>
  <si>
    <t xml:space="preserve">Read about what each of these terms mean and how they are used in this tool: </t>
  </si>
  <si>
    <t xml:space="preserve">The strengths that this tool evaluates across each of these categories are: (a) technical capacity, (b) data integration capacity, (c) internal processes, and (d) participation and empowerment. In this tool we refer to these as domains and they cut across all categories in the tool. </t>
  </si>
  <si>
    <t xml:space="preserve">All the questions in this tool have been designed to understand how your city is factoring equity across the ecosystem. Three crosscutting themes are explored through the questions: </t>
  </si>
  <si>
    <t xml:space="preserve">Read more about the drivers of air pollution injustice in this report: </t>
  </si>
  <si>
    <r>
      <t xml:space="preserve">Start with the </t>
    </r>
    <r>
      <rPr>
        <b/>
        <sz val="14"/>
        <color theme="1"/>
        <rFont val="Figtree"/>
      </rPr>
      <t>'must have</t>
    </r>
    <r>
      <rPr>
        <sz val="14"/>
        <color theme="1"/>
        <rFont val="Figtree"/>
      </rPr>
      <t xml:space="preserve">' questions. 
Use the expansion feature marked with a </t>
    </r>
    <r>
      <rPr>
        <b/>
        <sz val="14"/>
        <color theme="1"/>
        <rFont val="Figtree"/>
      </rPr>
      <t>[+]</t>
    </r>
    <r>
      <rPr>
        <sz val="14"/>
        <color theme="1"/>
        <rFont val="Figtree"/>
      </rPr>
      <t xml:space="preserve"> on the left of the excel sheet to access the </t>
    </r>
    <r>
      <rPr>
        <b/>
        <sz val="14"/>
        <color theme="1"/>
        <rFont val="Figtree"/>
      </rPr>
      <t>'additional'</t>
    </r>
    <r>
      <rPr>
        <sz val="14"/>
        <color theme="1"/>
        <rFont val="Figtree"/>
      </rPr>
      <t xml:space="preserve"> questions. 
We recommend that
 </t>
    </r>
    <r>
      <rPr>
        <b/>
        <sz val="14"/>
        <color theme="1"/>
        <rFont val="Figtree"/>
      </rPr>
      <t>all questions</t>
    </r>
    <r>
      <rPr>
        <sz val="14"/>
        <color theme="1"/>
        <rFont val="Figtree"/>
      </rPr>
      <t xml:space="preserve"> are answered.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</si>
</sst>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6">
    <font>
      <sz val="12"/>
      <color theme="1"/>
      <name val="Aptos Narrow"/>
      <family val="2"/>
      <scheme val="minor"/>
    </font>
    <font>
      <sz val="12"/>
      <color theme="1"/>
      <name val="Figtree"/>
    </font>
    <font>
      <b/>
      <sz val="24"/>
      <color theme="1"/>
      <name val="Figtree"/>
    </font>
    <font>
      <u/>
      <sz val="12"/>
      <color theme="10"/>
      <name val="Aptos Narrow"/>
      <family val="2"/>
      <scheme val="minor"/>
    </font>
    <font>
      <b/>
      <sz val="12"/>
      <color theme="1"/>
      <name val="Figtree"/>
    </font>
    <font>
      <b/>
      <sz val="14"/>
      <color theme="1"/>
      <name val="Figtree"/>
    </font>
    <font>
      <b/>
      <sz val="16"/>
      <color theme="1"/>
      <name val="Figtree"/>
    </font>
    <font>
      <b/>
      <i/>
      <sz val="14"/>
      <color theme="1"/>
      <name val="Figtree"/>
    </font>
    <font>
      <u/>
      <sz val="9"/>
      <color theme="10"/>
      <name val="Figtree"/>
    </font>
    <font>
      <sz val="9"/>
      <color theme="1"/>
      <name val="Figtree"/>
    </font>
    <font>
      <sz val="12"/>
      <color theme="0" tint="-0.14999847407452621"/>
      <name val="Figtree"/>
    </font>
    <font>
      <sz val="12"/>
      <color theme="0"/>
      <name val="Figtree"/>
    </font>
    <font>
      <sz val="12"/>
      <color theme="0" tint="-0.34998626667073579"/>
      <name val="Figtree"/>
    </font>
    <font>
      <sz val="11"/>
      <color theme="1"/>
      <name val="Figtree"/>
    </font>
    <font>
      <b/>
      <sz val="11"/>
      <color theme="1"/>
      <name val="Figtree"/>
    </font>
    <font>
      <i/>
      <sz val="11"/>
      <color theme="1"/>
      <name val="Figtree"/>
    </font>
    <font>
      <sz val="11"/>
      <color theme="0" tint="-0.14999847407452621"/>
      <name val="Figtree"/>
    </font>
    <font>
      <sz val="11"/>
      <color theme="0" tint="-0.34998626667073579"/>
      <name val="Figtree"/>
    </font>
    <font>
      <sz val="11"/>
      <color rgb="FF000000"/>
      <name val="Figtree"/>
    </font>
    <font>
      <b/>
      <sz val="12"/>
      <color rgb="FF000000"/>
      <name val="Figtree"/>
    </font>
    <font>
      <sz val="8"/>
      <color theme="1"/>
      <name val="Figtree"/>
    </font>
    <font>
      <sz val="8"/>
      <color rgb="FF000000"/>
      <name val="Figtree"/>
    </font>
    <font>
      <b/>
      <sz val="16"/>
      <color rgb="FF000000"/>
      <name val="Figtree"/>
    </font>
    <font>
      <sz val="8"/>
      <color theme="0"/>
      <name val="Figtree"/>
    </font>
    <font>
      <b/>
      <sz val="11"/>
      <color rgb="FF000000"/>
      <name val="Figtree"/>
    </font>
    <font>
      <sz val="1"/>
      <color theme="0" tint="-0.14999847407452621"/>
      <name val="Figtree"/>
    </font>
    <font>
      <i/>
      <u/>
      <sz val="9"/>
      <color theme="10"/>
      <name val="Figtree"/>
    </font>
    <font>
      <i/>
      <u/>
      <sz val="11"/>
      <color theme="10"/>
      <name val="Figtree"/>
    </font>
    <font>
      <i/>
      <sz val="12"/>
      <color rgb="FF000000"/>
      <name val="Figtree"/>
    </font>
    <font>
      <b/>
      <i/>
      <sz val="16"/>
      <color theme="1"/>
      <name val="Figtree"/>
    </font>
    <font>
      <b/>
      <sz val="20"/>
      <color theme="1"/>
      <name val="Figtree"/>
    </font>
    <font>
      <u/>
      <sz val="10"/>
      <color theme="10"/>
      <name val="Figtree"/>
    </font>
    <font>
      <sz val="14"/>
      <color theme="1"/>
      <name val="Figtree"/>
    </font>
    <font>
      <u/>
      <sz val="11"/>
      <color theme="1"/>
      <name val="Figtree"/>
    </font>
    <font>
      <b/>
      <u/>
      <sz val="11"/>
      <color theme="1"/>
      <name val="Figtree"/>
    </font>
    <font>
      <u/>
      <sz val="12"/>
      <color theme="10"/>
      <name val="Figtree"/>
    </font>
  </fonts>
  <fills count="10">
    <fill>
      <patternFill patternType="none"/>
    </fill>
    <fill>
      <patternFill patternType="gray125"/>
    </fill>
    <fill>
      <patternFill patternType="solid">
        <fgColor theme="0" tint="-0.249977111117893"/>
        <bgColor indexed="64"/>
      </patternFill>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5DB70"/>
        <bgColor indexed="64"/>
      </patternFill>
    </fill>
    <fill>
      <patternFill patternType="solid">
        <fgColor rgb="FFFAECB4"/>
        <bgColor indexed="64"/>
      </patternFill>
    </fill>
    <fill>
      <patternFill patternType="solid">
        <fgColor rgb="FFFFFFFF"/>
        <bgColor rgb="FF000000"/>
      </patternFill>
    </fill>
    <fill>
      <patternFill patternType="solid">
        <fgColor rgb="FFEC6B54"/>
        <bgColor indexed="64"/>
      </patternFill>
    </fill>
  </fills>
  <borders count="30">
    <border>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medium">
        <color indexed="64"/>
      </left>
      <right/>
      <top/>
      <bottom/>
      <diagonal/>
    </border>
    <border>
      <left/>
      <right style="medium">
        <color indexed="64"/>
      </right>
      <top/>
      <bottom/>
      <diagonal/>
    </border>
    <border>
      <left/>
      <right/>
      <top style="thin">
        <color indexed="64"/>
      </top>
      <bottom/>
      <diagonal/>
    </border>
    <border>
      <left/>
      <right/>
      <top/>
      <bottom style="double">
        <color indexed="64"/>
      </bottom>
      <diagonal/>
    </border>
    <border>
      <left/>
      <right/>
      <top/>
      <bottom style="thin">
        <color auto="1"/>
      </bottom>
      <diagonal/>
    </border>
    <border>
      <left/>
      <right/>
      <top style="thin">
        <color auto="1"/>
      </top>
      <bottom style="thin">
        <color auto="1"/>
      </bottom>
      <diagonal/>
    </border>
    <border>
      <left/>
      <right/>
      <top style="thin">
        <color indexed="64"/>
      </top>
      <bottom style="medium">
        <color indexed="64"/>
      </bottom>
      <diagonal/>
    </border>
    <border>
      <left/>
      <right/>
      <top/>
      <bottom style="medium">
        <color indexed="64"/>
      </bottom>
      <diagonal/>
    </border>
    <border>
      <left/>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2">
    <xf numFmtId="0" fontId="0" fillId="0" borderId="0"/>
    <xf numFmtId="0" fontId="3" fillId="0" borderId="0" applyNumberFormat="0" applyFill="0" applyBorder="0" applyAlignment="0" applyProtection="0"/>
  </cellStyleXfs>
  <cellXfs count="222">
    <xf numFmtId="0" fontId="0" fillId="0" borderId="0" xfId="0"/>
    <xf numFmtId="0" fontId="3" fillId="0" borderId="0" xfId="1"/>
    <xf numFmtId="0" fontId="10" fillId="4" borderId="0" xfId="0" applyFont="1" applyFill="1"/>
    <xf numFmtId="0" fontId="11" fillId="4" borderId="0" xfId="0" applyFont="1" applyFill="1"/>
    <xf numFmtId="0" fontId="12" fillId="4" borderId="0" xfId="0" applyFont="1" applyFill="1"/>
    <xf numFmtId="0" fontId="1" fillId="0" borderId="0" xfId="0" applyFont="1"/>
    <xf numFmtId="0" fontId="13" fillId="0" borderId="0" xfId="0" applyFont="1"/>
    <xf numFmtId="0" fontId="13" fillId="0" borderId="0" xfId="0" applyFont="1" applyAlignment="1">
      <alignment horizontal="center" vertical="center"/>
    </xf>
    <xf numFmtId="0" fontId="13" fillId="4" borderId="10" xfId="0" applyFont="1" applyFill="1" applyBorder="1" applyAlignment="1">
      <alignment horizontal="center" vertical="center"/>
    </xf>
    <xf numFmtId="0" fontId="13" fillId="4" borderId="0" xfId="0" applyFont="1" applyFill="1" applyAlignment="1">
      <alignment horizontal="center" vertical="center"/>
    </xf>
    <xf numFmtId="0" fontId="13" fillId="4" borderId="11" xfId="0" applyFont="1" applyFill="1" applyBorder="1" applyAlignment="1">
      <alignment horizontal="center" vertical="center"/>
    </xf>
    <xf numFmtId="0" fontId="1" fillId="4" borderId="10" xfId="0" applyFont="1" applyFill="1" applyBorder="1"/>
    <xf numFmtId="0" fontId="1" fillId="4" borderId="0" xfId="0" applyFont="1" applyFill="1"/>
    <xf numFmtId="0" fontId="1" fillId="4" borderId="11" xfId="0" applyFont="1" applyFill="1" applyBorder="1"/>
    <xf numFmtId="0" fontId="4" fillId="4" borderId="10" xfId="0" applyFont="1" applyFill="1" applyBorder="1"/>
    <xf numFmtId="0" fontId="4" fillId="4" borderId="0" xfId="0" applyFont="1" applyFill="1"/>
    <xf numFmtId="0" fontId="16" fillId="4" borderId="0" xfId="0" applyFont="1" applyFill="1"/>
    <xf numFmtId="0" fontId="13" fillId="4" borderId="0" xfId="0" applyFont="1" applyFill="1"/>
    <xf numFmtId="0" fontId="17" fillId="4" borderId="0" xfId="0" applyFont="1" applyFill="1"/>
    <xf numFmtId="0" fontId="5" fillId="3" borderId="0" xfId="0" applyFont="1" applyFill="1"/>
    <xf numFmtId="0" fontId="13" fillId="3" borderId="0" xfId="0" applyFont="1" applyFill="1"/>
    <xf numFmtId="0" fontId="13" fillId="3" borderId="14" xfId="0" applyFont="1" applyFill="1" applyBorder="1"/>
    <xf numFmtId="0" fontId="14" fillId="3" borderId="14" xfId="0" applyFont="1" applyFill="1" applyBorder="1" applyAlignment="1">
      <alignment horizontal="center"/>
    </xf>
    <xf numFmtId="0" fontId="14" fillId="3" borderId="0" xfId="0" applyFont="1" applyFill="1" applyAlignment="1">
      <alignment horizontal="center"/>
    </xf>
    <xf numFmtId="0" fontId="13" fillId="3" borderId="0" xfId="0" applyFont="1" applyFill="1" applyAlignment="1">
      <alignment horizontal="center" wrapText="1"/>
    </xf>
    <xf numFmtId="0" fontId="13" fillId="3" borderId="14" xfId="0" applyFont="1" applyFill="1" applyBorder="1" applyAlignment="1">
      <alignment horizontal="center" vertical="center" wrapText="1"/>
    </xf>
    <xf numFmtId="0" fontId="13" fillId="3" borderId="0" xfId="0" applyFont="1" applyFill="1" applyAlignment="1">
      <alignment horizontal="center" vertical="center" wrapText="1"/>
    </xf>
    <xf numFmtId="0" fontId="13" fillId="3" borderId="15" xfId="0" applyFont="1" applyFill="1" applyBorder="1" applyAlignment="1">
      <alignment horizontal="center" vertical="center" wrapText="1"/>
    </xf>
    <xf numFmtId="0" fontId="6" fillId="3" borderId="4" xfId="0" applyFont="1" applyFill="1" applyBorder="1"/>
    <xf numFmtId="0" fontId="1" fillId="3" borderId="5" xfId="0" applyFont="1" applyFill="1" applyBorder="1"/>
    <xf numFmtId="0" fontId="18" fillId="3" borderId="16" xfId="0" applyFont="1" applyFill="1" applyBorder="1" applyAlignment="1">
      <alignment wrapText="1"/>
    </xf>
    <xf numFmtId="0" fontId="19" fillId="3" borderId="16" xfId="0" applyFont="1" applyFill="1" applyBorder="1"/>
    <xf numFmtId="0" fontId="19" fillId="3" borderId="16" xfId="0" applyFont="1" applyFill="1" applyBorder="1" applyAlignment="1">
      <alignment horizontal="center"/>
    </xf>
    <xf numFmtId="0" fontId="6" fillId="3" borderId="19" xfId="0" applyFont="1" applyFill="1" applyBorder="1"/>
    <xf numFmtId="0" fontId="18" fillId="5" borderId="17" xfId="0" applyFont="1" applyFill="1" applyBorder="1" applyAlignment="1">
      <alignment wrapText="1"/>
    </xf>
    <xf numFmtId="0" fontId="6" fillId="3" borderId="19" xfId="0" applyFont="1" applyFill="1" applyBorder="1" applyAlignment="1">
      <alignment horizontal="center"/>
    </xf>
    <xf numFmtId="0" fontId="19" fillId="3" borderId="20" xfId="0" applyFont="1" applyFill="1" applyBorder="1"/>
    <xf numFmtId="0" fontId="1" fillId="3" borderId="14" xfId="0" applyFont="1" applyFill="1" applyBorder="1"/>
    <xf numFmtId="0" fontId="1" fillId="3" borderId="8" xfId="0" applyFont="1" applyFill="1" applyBorder="1"/>
    <xf numFmtId="0" fontId="1" fillId="3" borderId="10" xfId="0" applyFont="1" applyFill="1" applyBorder="1"/>
    <xf numFmtId="0" fontId="11" fillId="3" borderId="10" xfId="0" applyFont="1" applyFill="1" applyBorder="1"/>
    <xf numFmtId="0" fontId="1" fillId="3" borderId="9" xfId="0" applyFont="1" applyFill="1" applyBorder="1"/>
    <xf numFmtId="0" fontId="1" fillId="3" borderId="11" xfId="0" applyFont="1" applyFill="1" applyBorder="1"/>
    <xf numFmtId="0" fontId="9" fillId="7" borderId="16" xfId="0" applyFont="1" applyFill="1" applyBorder="1" applyAlignment="1" applyProtection="1">
      <alignment horizontal="center" vertical="center"/>
      <protection locked="0"/>
    </xf>
    <xf numFmtId="0" fontId="9" fillId="6" borderId="16" xfId="0" applyFont="1" applyFill="1" applyBorder="1" applyAlignment="1" applyProtection="1">
      <alignment horizontal="center" vertical="center"/>
      <protection locked="0"/>
    </xf>
    <xf numFmtId="0" fontId="7" fillId="3" borderId="3" xfId="0" applyFont="1" applyFill="1" applyBorder="1" applyAlignment="1">
      <alignment horizontal="center"/>
    </xf>
    <xf numFmtId="164" fontId="18" fillId="3" borderId="14" xfId="0" applyNumberFormat="1" applyFont="1" applyFill="1" applyBorder="1" applyAlignment="1">
      <alignment horizontal="center" vertical="center"/>
    </xf>
    <xf numFmtId="164" fontId="18" fillId="3" borderId="0" xfId="0" applyNumberFormat="1" applyFont="1" applyFill="1" applyAlignment="1">
      <alignment horizontal="center" vertical="center"/>
    </xf>
    <xf numFmtId="164" fontId="18" fillId="3" borderId="15" xfId="0" applyNumberFormat="1" applyFont="1" applyFill="1" applyBorder="1" applyAlignment="1">
      <alignment horizontal="center" vertical="center"/>
    </xf>
    <xf numFmtId="0" fontId="14" fillId="3" borderId="0" xfId="0" applyFont="1" applyFill="1" applyAlignment="1">
      <alignment horizontal="center" wrapText="1"/>
    </xf>
    <xf numFmtId="0" fontId="14" fillId="3" borderId="0" xfId="0" applyFont="1" applyFill="1" applyAlignment="1">
      <alignment horizontal="center" vertical="center" wrapText="1"/>
    </xf>
    <xf numFmtId="0" fontId="1" fillId="3" borderId="0" xfId="0" applyFont="1" applyFill="1"/>
    <xf numFmtId="0" fontId="1" fillId="0" borderId="10" xfId="0" applyFont="1" applyBorder="1"/>
    <xf numFmtId="0" fontId="1" fillId="0" borderId="11" xfId="0" applyFont="1" applyBorder="1"/>
    <xf numFmtId="0" fontId="6" fillId="3" borderId="0" xfId="0" applyFont="1" applyFill="1"/>
    <xf numFmtId="0" fontId="13" fillId="3" borderId="0" xfId="0" applyFont="1" applyFill="1" applyAlignment="1">
      <alignment horizontal="center" vertical="center"/>
    </xf>
    <xf numFmtId="0" fontId="18" fillId="3" borderId="16" xfId="0" applyFont="1" applyFill="1" applyBorder="1" applyAlignment="1">
      <alignment vertical="top" wrapText="1"/>
    </xf>
    <xf numFmtId="0" fontId="18" fillId="5" borderId="17" xfId="0" applyFont="1" applyFill="1" applyBorder="1" applyAlignment="1">
      <alignment vertical="top" wrapText="1"/>
    </xf>
    <xf numFmtId="0" fontId="18" fillId="5" borderId="18" xfId="0" applyFont="1" applyFill="1" applyBorder="1" applyAlignment="1">
      <alignment vertical="top" wrapText="1"/>
    </xf>
    <xf numFmtId="0" fontId="18" fillId="3" borderId="18" xfId="0" applyFont="1" applyFill="1" applyBorder="1" applyAlignment="1">
      <alignment vertical="top" wrapText="1"/>
    </xf>
    <xf numFmtId="0" fontId="20" fillId="3" borderId="10" xfId="0" applyFont="1" applyFill="1" applyBorder="1" applyAlignment="1">
      <alignment horizontal="center" vertical="top"/>
    </xf>
    <xf numFmtId="0" fontId="20" fillId="3" borderId="10" xfId="0" applyFont="1" applyFill="1" applyBorder="1"/>
    <xf numFmtId="0" fontId="21" fillId="8" borderId="10" xfId="0" applyFont="1" applyFill="1" applyBorder="1" applyAlignment="1">
      <alignment horizontal="center" vertical="top"/>
    </xf>
    <xf numFmtId="0" fontId="1" fillId="3" borderId="22" xfId="0" applyFont="1" applyFill="1" applyBorder="1"/>
    <xf numFmtId="0" fontId="13" fillId="3" borderId="16" xfId="0" applyFont="1" applyFill="1" applyBorder="1"/>
    <xf numFmtId="0" fontId="13" fillId="3" borderId="16" xfId="0" applyFont="1" applyFill="1" applyBorder="1" applyAlignment="1">
      <alignment horizontal="center" vertical="center"/>
    </xf>
    <xf numFmtId="0" fontId="1" fillId="3" borderId="23" xfId="0" applyFont="1" applyFill="1" applyBorder="1"/>
    <xf numFmtId="1" fontId="18" fillId="3" borderId="14" xfId="0" applyNumberFormat="1" applyFont="1" applyFill="1" applyBorder="1" applyAlignment="1">
      <alignment horizontal="center" vertical="center"/>
    </xf>
    <xf numFmtId="1" fontId="18" fillId="3" borderId="0" xfId="0" applyNumberFormat="1" applyFont="1" applyFill="1" applyAlignment="1">
      <alignment horizontal="center" vertical="center"/>
    </xf>
    <xf numFmtId="1" fontId="18" fillId="3" borderId="15" xfId="0" applyNumberFormat="1" applyFont="1" applyFill="1" applyBorder="1" applyAlignment="1">
      <alignment horizontal="center" vertical="center"/>
    </xf>
    <xf numFmtId="1" fontId="16" fillId="4" borderId="0" xfId="0" applyNumberFormat="1" applyFont="1" applyFill="1"/>
    <xf numFmtId="1" fontId="13" fillId="4" borderId="0" xfId="0" applyNumberFormat="1" applyFont="1" applyFill="1"/>
    <xf numFmtId="1" fontId="17" fillId="4" borderId="0" xfId="0" applyNumberFormat="1" applyFont="1" applyFill="1"/>
    <xf numFmtId="1" fontId="5" fillId="3" borderId="0" xfId="0" applyNumberFormat="1" applyFont="1" applyFill="1"/>
    <xf numFmtId="1" fontId="13" fillId="3" borderId="0" xfId="0" applyNumberFormat="1" applyFont="1" applyFill="1"/>
    <xf numFmtId="1" fontId="13" fillId="0" borderId="0" xfId="0" applyNumberFormat="1" applyFont="1"/>
    <xf numFmtId="1" fontId="13" fillId="3" borderId="14" xfId="0" applyNumberFormat="1" applyFont="1" applyFill="1" applyBorder="1"/>
    <xf numFmtId="1" fontId="14" fillId="3" borderId="0" xfId="0" applyNumberFormat="1" applyFont="1" applyFill="1" applyAlignment="1">
      <alignment horizontal="center"/>
    </xf>
    <xf numFmtId="1" fontId="13" fillId="3" borderId="0" xfId="0" applyNumberFormat="1" applyFont="1" applyFill="1" applyAlignment="1">
      <alignment horizontal="center" wrapText="1"/>
    </xf>
    <xf numFmtId="1" fontId="13" fillId="3" borderId="14" xfId="0" applyNumberFormat="1" applyFont="1" applyFill="1" applyBorder="1" applyAlignment="1">
      <alignment horizontal="center" vertical="center" wrapText="1"/>
    </xf>
    <xf numFmtId="1" fontId="13" fillId="3" borderId="0" xfId="0" applyNumberFormat="1" applyFont="1" applyFill="1" applyAlignment="1">
      <alignment horizontal="center" vertical="center" wrapText="1"/>
    </xf>
    <xf numFmtId="1" fontId="13" fillId="3" borderId="15" xfId="0" applyNumberFormat="1" applyFont="1" applyFill="1" applyBorder="1" applyAlignment="1">
      <alignment horizontal="center" vertical="center" wrapText="1"/>
    </xf>
    <xf numFmtId="0" fontId="13" fillId="7" borderId="16" xfId="0" applyFont="1" applyFill="1" applyBorder="1" applyAlignment="1" applyProtection="1">
      <alignment horizontal="center" vertical="center"/>
      <protection locked="0"/>
    </xf>
    <xf numFmtId="0" fontId="13" fillId="6" borderId="17" xfId="0" applyFont="1" applyFill="1" applyBorder="1" applyAlignment="1" applyProtection="1">
      <alignment horizontal="center" vertical="center"/>
      <protection locked="0"/>
    </xf>
    <xf numFmtId="0" fontId="13" fillId="6" borderId="18" xfId="0" applyFont="1" applyFill="1" applyBorder="1" applyAlignment="1" applyProtection="1">
      <alignment horizontal="center" vertical="center"/>
      <protection locked="0"/>
    </xf>
    <xf numFmtId="0" fontId="13" fillId="7" borderId="18" xfId="0" applyFont="1" applyFill="1" applyBorder="1" applyAlignment="1" applyProtection="1">
      <alignment horizontal="center" vertical="center"/>
      <protection locked="0"/>
    </xf>
    <xf numFmtId="0" fontId="13" fillId="3" borderId="0" xfId="0" applyFont="1" applyFill="1" applyAlignment="1">
      <alignment vertical="top" wrapText="1"/>
    </xf>
    <xf numFmtId="0" fontId="12" fillId="4" borderId="0" xfId="0" applyFont="1" applyFill="1" applyAlignment="1">
      <alignment wrapText="1"/>
    </xf>
    <xf numFmtId="0" fontId="1" fillId="3" borderId="10" xfId="0" applyFont="1" applyFill="1" applyBorder="1" applyAlignment="1">
      <alignment wrapText="1"/>
    </xf>
    <xf numFmtId="0" fontId="1" fillId="3" borderId="11" xfId="0" applyFont="1" applyFill="1" applyBorder="1" applyAlignment="1">
      <alignment wrapText="1"/>
    </xf>
    <xf numFmtId="0" fontId="1" fillId="0" borderId="0" xfId="0" applyFont="1" applyAlignment="1">
      <alignment wrapText="1"/>
    </xf>
    <xf numFmtId="0" fontId="13" fillId="4" borderId="0" xfId="0" applyFont="1" applyFill="1" applyAlignment="1">
      <alignment wrapText="1"/>
    </xf>
    <xf numFmtId="0" fontId="13" fillId="4" borderId="0" xfId="0" applyFont="1" applyFill="1" applyAlignment="1">
      <alignment vertical="top" wrapText="1"/>
    </xf>
    <xf numFmtId="0" fontId="13" fillId="4" borderId="0" xfId="0" applyFont="1" applyFill="1" applyAlignment="1">
      <alignment horizontal="left" vertical="top" wrapText="1"/>
    </xf>
    <xf numFmtId="0" fontId="4" fillId="3" borderId="0" xfId="0" applyFont="1" applyFill="1" applyAlignment="1">
      <alignment wrapText="1"/>
    </xf>
    <xf numFmtId="0" fontId="22" fillId="3" borderId="0" xfId="0" applyFont="1" applyFill="1" applyAlignment="1">
      <alignment wrapText="1"/>
    </xf>
    <xf numFmtId="0" fontId="19" fillId="3" borderId="0" xfId="0" applyFont="1" applyFill="1" applyAlignment="1">
      <alignment wrapText="1"/>
    </xf>
    <xf numFmtId="0" fontId="18" fillId="3" borderId="0" xfId="0" applyFont="1" applyFill="1" applyAlignment="1">
      <alignment vertical="top" wrapText="1"/>
    </xf>
    <xf numFmtId="0" fontId="13" fillId="3" borderId="11" xfId="0" applyFont="1" applyFill="1" applyBorder="1" applyAlignment="1">
      <alignment wrapText="1"/>
    </xf>
    <xf numFmtId="0" fontId="13" fillId="3" borderId="11" xfId="0" applyFont="1" applyFill="1" applyBorder="1" applyAlignment="1">
      <alignment vertical="top" wrapText="1"/>
    </xf>
    <xf numFmtId="0" fontId="13" fillId="3" borderId="11" xfId="0" applyFont="1" applyFill="1" applyBorder="1" applyAlignment="1">
      <alignment horizontal="left" vertical="top" wrapText="1"/>
    </xf>
    <xf numFmtId="0" fontId="23" fillId="3" borderId="10" xfId="0" applyFont="1" applyFill="1" applyBorder="1" applyAlignment="1">
      <alignment horizontal="center" vertical="top"/>
    </xf>
    <xf numFmtId="164" fontId="24" fillId="3" borderId="21" xfId="0" applyNumberFormat="1" applyFont="1" applyFill="1" applyBorder="1" applyAlignment="1">
      <alignment horizontal="center" vertical="center"/>
    </xf>
    <xf numFmtId="164" fontId="24" fillId="3" borderId="14" xfId="0" applyNumberFormat="1" applyFont="1" applyFill="1" applyBorder="1" applyAlignment="1">
      <alignment horizontal="center" vertical="center"/>
    </xf>
    <xf numFmtId="164" fontId="24" fillId="3" borderId="0" xfId="0" applyNumberFormat="1" applyFont="1" applyFill="1" applyAlignment="1">
      <alignment horizontal="center" vertical="center"/>
    </xf>
    <xf numFmtId="164" fontId="24" fillId="3" borderId="15" xfId="0" applyNumberFormat="1" applyFont="1" applyFill="1" applyBorder="1" applyAlignment="1">
      <alignment horizontal="center" vertical="center"/>
    </xf>
    <xf numFmtId="0" fontId="25" fillId="4" borderId="0" xfId="0" applyFont="1" applyFill="1"/>
    <xf numFmtId="0" fontId="18" fillId="5" borderId="17" xfId="0" applyFont="1" applyFill="1" applyBorder="1" applyAlignment="1">
      <alignment horizontal="center" vertical="top" wrapText="1"/>
    </xf>
    <xf numFmtId="0" fontId="18" fillId="5" borderId="18" xfId="0" applyFont="1" applyFill="1" applyBorder="1" applyAlignment="1">
      <alignment horizontal="center" vertical="top" wrapText="1"/>
    </xf>
    <xf numFmtId="0" fontId="19" fillId="3" borderId="16" xfId="0" applyFont="1" applyFill="1" applyBorder="1" applyAlignment="1">
      <alignment horizontal="left"/>
    </xf>
    <xf numFmtId="0" fontId="16" fillId="4" borderId="10" xfId="0" applyFont="1" applyFill="1" applyBorder="1" applyAlignment="1">
      <alignment horizontal="center" vertical="center"/>
    </xf>
    <xf numFmtId="0" fontId="16" fillId="4" borderId="0" xfId="0" applyFont="1" applyFill="1" applyAlignment="1">
      <alignment horizontal="center" vertical="center"/>
    </xf>
    <xf numFmtId="0" fontId="16" fillId="4" borderId="11" xfId="0" applyFont="1" applyFill="1" applyBorder="1" applyAlignment="1">
      <alignment horizontal="center" vertical="center"/>
    </xf>
    <xf numFmtId="0" fontId="18" fillId="3" borderId="18" xfId="0" applyFont="1" applyFill="1" applyBorder="1" applyAlignment="1">
      <alignment wrapText="1"/>
    </xf>
    <xf numFmtId="0" fontId="9" fillId="7" borderId="18" xfId="0" applyFont="1" applyFill="1" applyBorder="1" applyAlignment="1" applyProtection="1">
      <alignment horizontal="center" vertical="center"/>
      <protection locked="0"/>
    </xf>
    <xf numFmtId="0" fontId="12" fillId="3" borderId="9" xfId="0" applyFont="1" applyFill="1" applyBorder="1"/>
    <xf numFmtId="0" fontId="12" fillId="3" borderId="11" xfId="0" applyFont="1" applyFill="1" applyBorder="1"/>
    <xf numFmtId="0" fontId="12" fillId="3" borderId="23" xfId="0" applyFont="1" applyFill="1" applyBorder="1"/>
    <xf numFmtId="0" fontId="13" fillId="0" borderId="24" xfId="0" applyFont="1" applyBorder="1"/>
    <xf numFmtId="0" fontId="13" fillId="0" borderId="17" xfId="0" applyFont="1" applyBorder="1"/>
    <xf numFmtId="0" fontId="13" fillId="0" borderId="25" xfId="0" applyFont="1" applyBorder="1"/>
    <xf numFmtId="0" fontId="8" fillId="3" borderId="0" xfId="1" applyFont="1" applyFill="1" applyBorder="1" applyAlignment="1">
      <alignment horizontal="left"/>
    </xf>
    <xf numFmtId="0" fontId="8" fillId="3" borderId="0" xfId="1" applyFont="1" applyFill="1" applyBorder="1"/>
    <xf numFmtId="0" fontId="13" fillId="4" borderId="10" xfId="0" applyFont="1" applyFill="1" applyBorder="1" applyAlignment="1">
      <alignment horizontal="center" textRotation="90"/>
    </xf>
    <xf numFmtId="0" fontId="13" fillId="4" borderId="0" xfId="0" applyFont="1" applyFill="1" applyAlignment="1">
      <alignment horizontal="center" textRotation="90"/>
    </xf>
    <xf numFmtId="0" fontId="13" fillId="4" borderId="11" xfId="0" applyFont="1" applyFill="1" applyBorder="1" applyAlignment="1">
      <alignment horizontal="center" textRotation="90"/>
    </xf>
    <xf numFmtId="0" fontId="6" fillId="3" borderId="0" xfId="0" applyFont="1" applyFill="1" applyAlignment="1">
      <alignment horizontal="center"/>
    </xf>
    <xf numFmtId="0" fontId="19" fillId="3" borderId="0" xfId="0" applyFont="1" applyFill="1" applyAlignment="1">
      <alignment horizontal="center"/>
    </xf>
    <xf numFmtId="0" fontId="1" fillId="3" borderId="3" xfId="0" applyFont="1" applyFill="1" applyBorder="1"/>
    <xf numFmtId="0" fontId="2" fillId="2" borderId="21" xfId="0" applyFont="1" applyFill="1" applyBorder="1" applyAlignment="1">
      <alignment horizontal="center" vertical="center" wrapText="1"/>
    </xf>
    <xf numFmtId="49" fontId="9" fillId="6" borderId="16" xfId="0" applyNumberFormat="1" applyFont="1" applyFill="1" applyBorder="1" applyAlignment="1" applyProtection="1">
      <alignment horizontal="center" vertical="center"/>
      <protection locked="0"/>
    </xf>
    <xf numFmtId="0" fontId="28" fillId="3" borderId="0" xfId="0" applyFont="1" applyFill="1" applyAlignment="1">
      <alignment horizontal="left"/>
    </xf>
    <xf numFmtId="0" fontId="12" fillId="3" borderId="0" xfId="0" applyFont="1" applyFill="1"/>
    <xf numFmtId="0" fontId="5" fillId="3" borderId="27" xfId="0" applyFont="1" applyFill="1" applyBorder="1"/>
    <xf numFmtId="0" fontId="13" fillId="3" borderId="28" xfId="0" applyFont="1" applyFill="1" applyBorder="1" applyAlignment="1">
      <alignment vertical="top" wrapText="1"/>
    </xf>
    <xf numFmtId="0" fontId="5" fillId="3" borderId="27" xfId="0" applyFont="1" applyFill="1" applyBorder="1" applyAlignment="1">
      <alignment wrapText="1"/>
    </xf>
    <xf numFmtId="0" fontId="13" fillId="3" borderId="29" xfId="0" applyFont="1" applyFill="1" applyBorder="1" applyAlignment="1">
      <alignment horizontal="center" vertical="center"/>
    </xf>
    <xf numFmtId="0" fontId="13" fillId="3" borderId="28" xfId="0" applyFont="1" applyFill="1" applyBorder="1" applyAlignment="1">
      <alignment horizontal="left" vertical="center" wrapText="1"/>
    </xf>
    <xf numFmtId="0" fontId="13" fillId="3" borderId="29" xfId="0" applyFont="1" applyFill="1" applyBorder="1" applyAlignment="1">
      <alignment horizontal="left" vertical="center" wrapText="1"/>
    </xf>
    <xf numFmtId="0" fontId="18" fillId="3" borderId="17" xfId="0" applyFont="1" applyFill="1" applyBorder="1" applyAlignment="1">
      <alignment vertical="top" wrapText="1"/>
    </xf>
    <xf numFmtId="0" fontId="13" fillId="7" borderId="17" xfId="0" applyFont="1" applyFill="1" applyBorder="1" applyAlignment="1" applyProtection="1">
      <alignment horizontal="center" vertical="center"/>
      <protection locked="0"/>
    </xf>
    <xf numFmtId="0" fontId="18" fillId="3" borderId="20" xfId="0" applyFont="1" applyFill="1" applyBorder="1" applyAlignment="1">
      <alignment vertical="top" wrapText="1"/>
    </xf>
    <xf numFmtId="0" fontId="13" fillId="7" borderId="20" xfId="0" applyFont="1" applyFill="1" applyBorder="1" applyAlignment="1" applyProtection="1">
      <alignment horizontal="center" vertical="center"/>
      <protection locked="0"/>
    </xf>
    <xf numFmtId="0" fontId="18" fillId="3" borderId="19" xfId="0" applyFont="1" applyFill="1" applyBorder="1" applyAlignment="1">
      <alignment vertical="top" wrapText="1"/>
    </xf>
    <xf numFmtId="0" fontId="13" fillId="7" borderId="19" xfId="0" applyFont="1" applyFill="1" applyBorder="1" applyAlignment="1" applyProtection="1">
      <alignment horizontal="center" vertical="center"/>
      <protection locked="0"/>
    </xf>
    <xf numFmtId="0" fontId="8" fillId="3" borderId="16" xfId="1" applyFont="1" applyFill="1" applyBorder="1" applyAlignment="1">
      <alignment horizontal="left"/>
    </xf>
    <xf numFmtId="0" fontId="1" fillId="3" borderId="0" xfId="0" applyFont="1" applyFill="1" applyAlignment="1">
      <alignment wrapText="1"/>
    </xf>
    <xf numFmtId="0" fontId="1" fillId="3" borderId="16" xfId="0" applyFont="1" applyFill="1" applyBorder="1"/>
    <xf numFmtId="0" fontId="18" fillId="3" borderId="17" xfId="0" applyFont="1" applyFill="1" applyBorder="1" applyAlignment="1">
      <alignment horizontal="center" vertical="top" wrapText="1"/>
    </xf>
    <xf numFmtId="0" fontId="13" fillId="3" borderId="29" xfId="0" applyFont="1" applyFill="1" applyBorder="1" applyAlignment="1">
      <alignment wrapText="1"/>
    </xf>
    <xf numFmtId="0" fontId="14" fillId="3" borderId="28" xfId="0" applyFont="1" applyFill="1" applyBorder="1"/>
    <xf numFmtId="0" fontId="13" fillId="3" borderId="28" xfId="0" applyFont="1" applyFill="1" applyBorder="1" applyAlignment="1">
      <alignment horizontal="left" vertical="top" wrapText="1"/>
    </xf>
    <xf numFmtId="0" fontId="13" fillId="3" borderId="28" xfId="0" applyFont="1" applyFill="1" applyBorder="1" applyAlignment="1">
      <alignment horizontal="center" vertical="center"/>
    </xf>
    <xf numFmtId="0" fontId="0" fillId="4" borderId="0" xfId="0" applyFill="1"/>
    <xf numFmtId="0" fontId="18" fillId="3" borderId="18" xfId="0" applyFont="1" applyFill="1" applyBorder="1" applyAlignment="1">
      <alignment horizontal="center" vertical="top" wrapText="1"/>
    </xf>
    <xf numFmtId="0" fontId="18" fillId="5" borderId="14" xfId="0" applyFont="1" applyFill="1" applyBorder="1" applyAlignment="1">
      <alignment vertical="top" wrapText="1"/>
    </xf>
    <xf numFmtId="0" fontId="13" fillId="6" borderId="14" xfId="0" applyFont="1" applyFill="1" applyBorder="1" applyAlignment="1" applyProtection="1">
      <alignment horizontal="center" vertical="center"/>
      <protection locked="0"/>
    </xf>
    <xf numFmtId="0" fontId="26" fillId="3" borderId="16" xfId="1" applyFont="1" applyFill="1" applyBorder="1" applyAlignment="1">
      <alignment horizontal="left"/>
    </xf>
    <xf numFmtId="0" fontId="13" fillId="3" borderId="28" xfId="0" applyFont="1" applyFill="1" applyBorder="1" applyAlignment="1">
      <alignment vertical="center" wrapText="1"/>
    </xf>
    <xf numFmtId="0" fontId="35" fillId="3" borderId="28" xfId="1" applyFont="1" applyFill="1" applyBorder="1" applyAlignment="1">
      <alignment horizontal="left" vertical="top" wrapText="1"/>
    </xf>
    <xf numFmtId="0" fontId="1" fillId="3" borderId="28" xfId="1" applyFont="1" applyFill="1" applyBorder="1" applyAlignment="1">
      <alignment horizontal="left" wrapText="1"/>
    </xf>
    <xf numFmtId="0" fontId="1" fillId="3" borderId="28" xfId="1" applyFont="1" applyFill="1" applyBorder="1" applyAlignment="1">
      <alignment horizontal="left" vertical="center" wrapText="1"/>
    </xf>
    <xf numFmtId="0" fontId="13" fillId="3" borderId="29" xfId="0" applyFont="1" applyFill="1" applyBorder="1" applyAlignment="1">
      <alignment vertical="center" wrapText="1"/>
    </xf>
    <xf numFmtId="0" fontId="35" fillId="3" borderId="28" xfId="1" applyFont="1" applyFill="1" applyBorder="1" applyAlignment="1">
      <alignment vertical="top" wrapText="1"/>
    </xf>
    <xf numFmtId="0" fontId="35" fillId="3" borderId="29" xfId="1" applyFont="1" applyFill="1" applyBorder="1" applyAlignment="1">
      <alignment vertical="top" wrapText="1"/>
    </xf>
    <xf numFmtId="0" fontId="5" fillId="3" borderId="27" xfId="0" applyFont="1" applyFill="1" applyBorder="1" applyAlignment="1">
      <alignment vertical="center" wrapText="1"/>
    </xf>
    <xf numFmtId="0" fontId="32" fillId="6" borderId="21" xfId="0" applyFont="1" applyFill="1" applyBorder="1" applyAlignment="1">
      <alignment horizontal="center" vertical="center" wrapText="1"/>
    </xf>
    <xf numFmtId="0" fontId="13" fillId="3" borderId="27" xfId="0" applyFont="1" applyFill="1" applyBorder="1" applyAlignment="1">
      <alignment horizontal="center" vertical="center"/>
    </xf>
    <xf numFmtId="0" fontId="3" fillId="3" borderId="28" xfId="1" applyFill="1" applyBorder="1" applyAlignment="1">
      <alignment horizontal="left" vertical="center" wrapText="1"/>
    </xf>
    <xf numFmtId="0" fontId="1" fillId="3" borderId="28" xfId="0" applyFont="1" applyFill="1" applyBorder="1" applyAlignment="1">
      <alignment horizontal="left" wrapText="1"/>
    </xf>
    <xf numFmtId="0" fontId="14" fillId="3" borderId="28" xfId="0" applyFont="1" applyFill="1" applyBorder="1" applyAlignment="1">
      <alignment horizontal="left" vertical="center" wrapText="1"/>
    </xf>
    <xf numFmtId="0" fontId="5" fillId="3" borderId="21" xfId="0" applyFont="1" applyFill="1" applyBorder="1" applyAlignment="1">
      <alignment wrapText="1"/>
    </xf>
    <xf numFmtId="0" fontId="5" fillId="3" borderId="9" xfId="0" applyFont="1" applyFill="1" applyBorder="1"/>
    <xf numFmtId="0" fontId="13" fillId="3" borderId="11" xfId="0" applyFont="1" applyFill="1" applyBorder="1"/>
    <xf numFmtId="0" fontId="13" fillId="3" borderId="23" xfId="0" applyFont="1" applyFill="1" applyBorder="1"/>
    <xf numFmtId="0" fontId="12" fillId="3" borderId="8" xfId="0" applyFont="1" applyFill="1" applyBorder="1"/>
    <xf numFmtId="0" fontId="13" fillId="3" borderId="14" xfId="0" applyFont="1" applyFill="1" applyBorder="1" applyAlignment="1">
      <alignment horizontal="center" vertical="center"/>
    </xf>
    <xf numFmtId="0" fontId="12" fillId="3" borderId="10" xfId="0" applyFont="1" applyFill="1" applyBorder="1"/>
    <xf numFmtId="0" fontId="12" fillId="3" borderId="22" xfId="0" applyFont="1" applyFill="1" applyBorder="1"/>
    <xf numFmtId="0" fontId="8" fillId="3" borderId="16" xfId="1" applyFont="1" applyFill="1" applyBorder="1" applyAlignment="1">
      <alignment horizontal="left"/>
    </xf>
    <xf numFmtId="0" fontId="29" fillId="9" borderId="0" xfId="0" applyFont="1" applyFill="1" applyAlignment="1">
      <alignment horizontal="center" vertical="center"/>
    </xf>
    <xf numFmtId="0" fontId="7" fillId="3" borderId="0" xfId="0" applyFont="1" applyFill="1" applyAlignment="1">
      <alignment horizontal="center"/>
    </xf>
    <xf numFmtId="0" fontId="2" fillId="2" borderId="1" xfId="0" applyFont="1" applyFill="1" applyBorder="1" applyAlignment="1">
      <alignment horizontal="center" vertical="center" wrapText="1"/>
    </xf>
    <xf numFmtId="0" fontId="2" fillId="2" borderId="26" xfId="0" applyFont="1" applyFill="1" applyBorder="1" applyAlignment="1">
      <alignment horizontal="center" vertical="center" wrapText="1"/>
    </xf>
    <xf numFmtId="0" fontId="2" fillId="2" borderId="2" xfId="0" applyFont="1" applyFill="1" applyBorder="1" applyAlignment="1">
      <alignment horizontal="center" vertical="center" wrapText="1"/>
    </xf>
    <xf numFmtId="0" fontId="5" fillId="9" borderId="27" xfId="0" applyFont="1" applyFill="1" applyBorder="1" applyAlignment="1">
      <alignment horizontal="center" vertical="center" wrapText="1"/>
    </xf>
    <xf numFmtId="0" fontId="5" fillId="9" borderId="29" xfId="0" applyFont="1" applyFill="1" applyBorder="1" applyAlignment="1">
      <alignment horizontal="center" vertical="center" wrapText="1"/>
    </xf>
    <xf numFmtId="0" fontId="35" fillId="3" borderId="27" xfId="1" applyFont="1" applyFill="1" applyBorder="1" applyAlignment="1">
      <alignment horizontal="left" vertical="center" wrapText="1"/>
    </xf>
    <xf numFmtId="0" fontId="35" fillId="3" borderId="28" xfId="1" applyFont="1" applyFill="1" applyBorder="1" applyAlignment="1">
      <alignment horizontal="left" vertical="center" wrapText="1"/>
    </xf>
    <xf numFmtId="0" fontId="35" fillId="3" borderId="29" xfId="1" applyFont="1" applyFill="1" applyBorder="1" applyAlignment="1">
      <alignment horizontal="left" vertical="center" wrapText="1"/>
    </xf>
    <xf numFmtId="0" fontId="19" fillId="6" borderId="26" xfId="0" applyFont="1" applyFill="1" applyBorder="1" applyAlignment="1">
      <alignment horizontal="center" vertical="center" wrapText="1"/>
    </xf>
    <xf numFmtId="0" fontId="26" fillId="3" borderId="16" xfId="1" applyFont="1" applyFill="1" applyBorder="1" applyAlignment="1">
      <alignment horizontal="left"/>
    </xf>
    <xf numFmtId="0" fontId="31" fillId="3" borderId="0" xfId="1" applyFont="1" applyFill="1" applyBorder="1"/>
    <xf numFmtId="0" fontId="15" fillId="3" borderId="12" xfId="0" applyFont="1" applyFill="1" applyBorder="1" applyAlignment="1">
      <alignment horizontal="left" vertical="top" wrapText="1"/>
    </xf>
    <xf numFmtId="0" fontId="15" fillId="3" borderId="0" xfId="0" applyFont="1" applyFill="1" applyAlignment="1">
      <alignment horizontal="left" vertical="top" wrapText="1"/>
    </xf>
    <xf numFmtId="0" fontId="15" fillId="3" borderId="13" xfId="0" applyFont="1" applyFill="1" applyBorder="1" applyAlignment="1">
      <alignment horizontal="left" vertical="top" wrapText="1"/>
    </xf>
    <xf numFmtId="0" fontId="13" fillId="7" borderId="6" xfId="0" applyFont="1" applyFill="1" applyBorder="1" applyAlignment="1">
      <alignment horizontal="left" vertical="center" wrapText="1"/>
    </xf>
    <xf numFmtId="0" fontId="13" fillId="7" borderId="19" xfId="0" applyFont="1" applyFill="1" applyBorder="1" applyAlignment="1">
      <alignment horizontal="left" vertical="center" wrapText="1"/>
    </xf>
    <xf numFmtId="0" fontId="13" fillId="7" borderId="7" xfId="0" applyFont="1" applyFill="1" applyBorder="1" applyAlignment="1">
      <alignment horizontal="left" vertical="center" wrapText="1"/>
    </xf>
    <xf numFmtId="0" fontId="13" fillId="3" borderId="12" xfId="0" applyFont="1" applyFill="1" applyBorder="1" applyAlignment="1">
      <alignment horizontal="left" vertical="top" wrapText="1"/>
    </xf>
    <xf numFmtId="0" fontId="13" fillId="3" borderId="0" xfId="0" applyFont="1" applyFill="1" applyAlignment="1">
      <alignment horizontal="left" vertical="top" wrapText="1"/>
    </xf>
    <xf numFmtId="0" fontId="13" fillId="3" borderId="13" xfId="0" applyFont="1" applyFill="1" applyBorder="1" applyAlignment="1">
      <alignment horizontal="left" vertical="top" wrapText="1"/>
    </xf>
    <xf numFmtId="0" fontId="14" fillId="3" borderId="12" xfId="0" applyFont="1" applyFill="1" applyBorder="1" applyAlignment="1">
      <alignment horizontal="left" vertical="center" wrapText="1"/>
    </xf>
    <xf numFmtId="0" fontId="14" fillId="3" borderId="0" xfId="0" applyFont="1" applyFill="1" applyAlignment="1">
      <alignment horizontal="left" vertical="center" wrapText="1"/>
    </xf>
    <xf numFmtId="0" fontId="14" fillId="3" borderId="13" xfId="0" applyFont="1" applyFill="1" applyBorder="1" applyAlignment="1">
      <alignment horizontal="left" vertical="center" wrapText="1"/>
    </xf>
    <xf numFmtId="0" fontId="13" fillId="3" borderId="6" xfId="0" applyFont="1" applyFill="1" applyBorder="1" applyAlignment="1">
      <alignment horizontal="left" vertical="center" wrapText="1"/>
    </xf>
    <xf numFmtId="0" fontId="13" fillId="3" borderId="19" xfId="0" applyFont="1" applyFill="1" applyBorder="1" applyAlignment="1">
      <alignment horizontal="left" vertical="center" wrapText="1"/>
    </xf>
    <xf numFmtId="0" fontId="13" fillId="3" borderId="7" xfId="0" applyFont="1" applyFill="1" applyBorder="1" applyAlignment="1">
      <alignment horizontal="left" vertical="center" wrapText="1"/>
    </xf>
    <xf numFmtId="0" fontId="33" fillId="2" borderId="0" xfId="1" applyFont="1" applyFill="1" applyBorder="1" applyAlignment="1">
      <alignment horizontal="center" vertical="center"/>
    </xf>
    <xf numFmtId="0" fontId="27" fillId="4" borderId="0" xfId="1" applyFont="1" applyFill="1" applyAlignment="1">
      <alignment horizontal="right"/>
    </xf>
    <xf numFmtId="0" fontId="27" fillId="3" borderId="16" xfId="1" applyFont="1" applyFill="1" applyBorder="1" applyAlignment="1">
      <alignment horizontal="right"/>
    </xf>
    <xf numFmtId="0" fontId="7" fillId="3" borderId="16" xfId="0" applyFont="1" applyFill="1" applyBorder="1" applyAlignment="1">
      <alignment horizontal="center"/>
    </xf>
    <xf numFmtId="0" fontId="14" fillId="3" borderId="14"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0" fontId="4" fillId="4" borderId="11" xfId="0" applyFont="1" applyFill="1" applyBorder="1" applyAlignment="1">
      <alignment horizontal="center"/>
    </xf>
    <xf numFmtId="0" fontId="13" fillId="3" borderId="0" xfId="0" applyFont="1" applyFill="1" applyAlignment="1">
      <alignment horizontal="left" vertical="center" wrapText="1"/>
    </xf>
    <xf numFmtId="0" fontId="30" fillId="2" borderId="1" xfId="0" applyFont="1" applyFill="1" applyBorder="1" applyAlignment="1">
      <alignment horizontal="center" vertical="center" wrapText="1"/>
    </xf>
    <xf numFmtId="0" fontId="30" fillId="2" borderId="2" xfId="0" applyFont="1" applyFill="1" applyBorder="1" applyAlignment="1">
      <alignment horizontal="center" vertical="center" wrapText="1"/>
    </xf>
    <xf numFmtId="1" fontId="14" fillId="3" borderId="0" xfId="0" applyNumberFormat="1" applyFont="1" applyFill="1" applyAlignment="1">
      <alignment horizontal="left" vertical="center" wrapText="1"/>
    </xf>
    <xf numFmtId="1" fontId="14" fillId="3" borderId="14" xfId="0" applyNumberFormat="1" applyFont="1" applyFill="1" applyBorder="1" applyAlignment="1">
      <alignment horizontal="center"/>
    </xf>
    <xf numFmtId="0" fontId="13" fillId="3" borderId="28" xfId="0" applyFont="1" applyFill="1" applyBorder="1" applyAlignment="1">
      <alignment horizontal="left" wrapText="1"/>
    </xf>
  </cellXfs>
  <cellStyles count="2">
    <cellStyle name="Hyperlink" xfId="1" builtinId="8"/>
    <cellStyle name="Normal" xfId="0" builtinId="0"/>
  </cellStyles>
  <dxfs count="0"/>
  <tableStyles count="0" defaultTableStyle="TableStyleMedium2" defaultPivotStyle="PivotStyleLight16"/>
  <colors>
    <mruColors>
      <color rgb="FFF5DB70"/>
      <color rgb="FFEC6B54"/>
      <color rgb="FF7667B5"/>
      <color rgb="FFFAECB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30314672775575552"/>
          <c:y val="7.0467502850627218E-3"/>
          <c:w val="0.67767941421640654"/>
          <c:h val="0.78056837471115847"/>
        </c:manualLayout>
      </c:layout>
      <c:barChart>
        <c:barDir val="bar"/>
        <c:grouping val="clustered"/>
        <c:varyColors val="0"/>
        <c:ser>
          <c:idx val="0"/>
          <c:order val="0"/>
          <c:tx>
            <c:strRef>
              <c:f>scoring_table!$B$1</c:f>
              <c:strCache>
                <c:ptCount val="1"/>
                <c:pt idx="0">
                  <c:v>Technical Capacity</c:v>
                </c:pt>
              </c:strCache>
            </c:strRef>
          </c:tx>
          <c:spPr>
            <a:solidFill>
              <a:schemeClr val="accent1"/>
            </a:solidFill>
            <a:ln>
              <a:noFill/>
            </a:ln>
            <a:effectLst/>
          </c:spPr>
          <c:invertIfNegative val="0"/>
          <c:cat>
            <c:strRef>
              <c:f>scoring_table!$A$2:$A$7</c:f>
              <c:strCache>
                <c:ptCount val="6"/>
                <c:pt idx="0">
                  <c:v>Data-sharing partnerships &amp; management tools</c:v>
                </c:pt>
                <c:pt idx="1">
                  <c:v>City/institutional buy-in, capacity building &amp; training</c:v>
                </c:pt>
                <c:pt idx="2">
                  <c:v>Public support &amp; engagement</c:v>
                </c:pt>
                <c:pt idx="3">
                  <c:v>Health &amp; economic impact modelling</c:v>
                </c:pt>
                <c:pt idx="4">
                  <c:v>Estimating air pollution</c:v>
                </c:pt>
                <c:pt idx="5">
                  <c:v>Source &amp; emission inventories</c:v>
                </c:pt>
              </c:strCache>
            </c:strRef>
          </c:cat>
          <c:val>
            <c:numRef>
              <c:f>scoring_table!$B$2:$B$7</c:f>
              <c:numCache>
                <c:formatCode>General</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0-2F80-4949-A657-B19BF0778B12}"/>
            </c:ext>
          </c:extLst>
        </c:ser>
        <c:ser>
          <c:idx val="1"/>
          <c:order val="1"/>
          <c:tx>
            <c:strRef>
              <c:f>scoring_table!$C$1</c:f>
              <c:strCache>
                <c:ptCount val="1"/>
                <c:pt idx="0">
                  <c:v>Data Integration</c:v>
                </c:pt>
              </c:strCache>
            </c:strRef>
          </c:tx>
          <c:spPr>
            <a:solidFill>
              <a:schemeClr val="accent2"/>
            </a:solidFill>
            <a:ln>
              <a:noFill/>
            </a:ln>
            <a:effectLst/>
          </c:spPr>
          <c:invertIfNegative val="0"/>
          <c:cat>
            <c:strRef>
              <c:f>scoring_table!$A$2:$A$7</c:f>
              <c:strCache>
                <c:ptCount val="6"/>
                <c:pt idx="0">
                  <c:v>Data-sharing partnerships &amp; management tools</c:v>
                </c:pt>
                <c:pt idx="1">
                  <c:v>City/institutional buy-in, capacity building &amp; training</c:v>
                </c:pt>
                <c:pt idx="2">
                  <c:v>Public support &amp; engagement</c:v>
                </c:pt>
                <c:pt idx="3">
                  <c:v>Health &amp; economic impact modelling</c:v>
                </c:pt>
                <c:pt idx="4">
                  <c:v>Estimating air pollution</c:v>
                </c:pt>
                <c:pt idx="5">
                  <c:v>Source &amp; emission inventories</c:v>
                </c:pt>
              </c:strCache>
            </c:strRef>
          </c:cat>
          <c:val>
            <c:numRef>
              <c:f>scoring_table!$C$2:$C$7</c:f>
              <c:numCache>
                <c:formatCode>General</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1-2F80-4949-A657-B19BF0778B12}"/>
            </c:ext>
          </c:extLst>
        </c:ser>
        <c:ser>
          <c:idx val="2"/>
          <c:order val="2"/>
          <c:tx>
            <c:strRef>
              <c:f>scoring_table!$D$1</c:f>
              <c:strCache>
                <c:ptCount val="1"/>
                <c:pt idx="0">
                  <c:v>Internal Processes</c:v>
                </c:pt>
              </c:strCache>
            </c:strRef>
          </c:tx>
          <c:spPr>
            <a:solidFill>
              <a:schemeClr val="accent3"/>
            </a:solidFill>
            <a:ln>
              <a:noFill/>
            </a:ln>
            <a:effectLst/>
          </c:spPr>
          <c:invertIfNegative val="0"/>
          <c:cat>
            <c:strRef>
              <c:f>scoring_table!$A$2:$A$7</c:f>
              <c:strCache>
                <c:ptCount val="6"/>
                <c:pt idx="0">
                  <c:v>Data-sharing partnerships &amp; management tools</c:v>
                </c:pt>
                <c:pt idx="1">
                  <c:v>City/institutional buy-in, capacity building &amp; training</c:v>
                </c:pt>
                <c:pt idx="2">
                  <c:v>Public support &amp; engagement</c:v>
                </c:pt>
                <c:pt idx="3">
                  <c:v>Health &amp; economic impact modelling</c:v>
                </c:pt>
                <c:pt idx="4">
                  <c:v>Estimating air pollution</c:v>
                </c:pt>
                <c:pt idx="5">
                  <c:v>Source &amp; emission inventories</c:v>
                </c:pt>
              </c:strCache>
            </c:strRef>
          </c:cat>
          <c:val>
            <c:numRef>
              <c:f>scoring_table!$D$2:$D$7</c:f>
              <c:numCache>
                <c:formatCode>General</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2-2F80-4949-A657-B19BF0778B12}"/>
            </c:ext>
          </c:extLst>
        </c:ser>
        <c:ser>
          <c:idx val="3"/>
          <c:order val="3"/>
          <c:tx>
            <c:strRef>
              <c:f>scoring_table!$E$1</c:f>
              <c:strCache>
                <c:ptCount val="1"/>
                <c:pt idx="0">
                  <c:v>Participation and Empowerment</c:v>
                </c:pt>
              </c:strCache>
            </c:strRef>
          </c:tx>
          <c:spPr>
            <a:solidFill>
              <a:schemeClr val="accent4"/>
            </a:solidFill>
            <a:ln>
              <a:noFill/>
            </a:ln>
            <a:effectLst/>
          </c:spPr>
          <c:invertIfNegative val="0"/>
          <c:cat>
            <c:strRef>
              <c:f>scoring_table!$A$2:$A$7</c:f>
              <c:strCache>
                <c:ptCount val="6"/>
                <c:pt idx="0">
                  <c:v>Data-sharing partnerships &amp; management tools</c:v>
                </c:pt>
                <c:pt idx="1">
                  <c:v>City/institutional buy-in, capacity building &amp; training</c:v>
                </c:pt>
                <c:pt idx="2">
                  <c:v>Public support &amp; engagement</c:v>
                </c:pt>
                <c:pt idx="3">
                  <c:v>Health &amp; economic impact modelling</c:v>
                </c:pt>
                <c:pt idx="4">
                  <c:v>Estimating air pollution</c:v>
                </c:pt>
                <c:pt idx="5">
                  <c:v>Source &amp; emission inventories</c:v>
                </c:pt>
              </c:strCache>
            </c:strRef>
          </c:cat>
          <c:val>
            <c:numRef>
              <c:f>scoring_table!$E$2:$E$7</c:f>
              <c:numCache>
                <c:formatCode>General</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3-2F80-4949-A657-B19BF0778B12}"/>
            </c:ext>
          </c:extLst>
        </c:ser>
        <c:ser>
          <c:idx val="4"/>
          <c:order val="4"/>
          <c:tx>
            <c:strRef>
              <c:f>scoring_table!$F$1</c:f>
              <c:strCache>
                <c:ptCount val="1"/>
                <c:pt idx="0">
                  <c:v>Distributional Equity</c:v>
                </c:pt>
              </c:strCache>
            </c:strRef>
          </c:tx>
          <c:spPr>
            <a:solidFill>
              <a:schemeClr val="accent5"/>
            </a:solidFill>
            <a:ln>
              <a:noFill/>
            </a:ln>
            <a:effectLst/>
          </c:spPr>
          <c:invertIfNegative val="0"/>
          <c:cat>
            <c:strRef>
              <c:f>scoring_table!$A$2:$A$7</c:f>
              <c:strCache>
                <c:ptCount val="6"/>
                <c:pt idx="0">
                  <c:v>Data-sharing partnerships &amp; management tools</c:v>
                </c:pt>
                <c:pt idx="1">
                  <c:v>City/institutional buy-in, capacity building &amp; training</c:v>
                </c:pt>
                <c:pt idx="2">
                  <c:v>Public support &amp; engagement</c:v>
                </c:pt>
                <c:pt idx="3">
                  <c:v>Health &amp; economic impact modelling</c:v>
                </c:pt>
                <c:pt idx="4">
                  <c:v>Estimating air pollution</c:v>
                </c:pt>
                <c:pt idx="5">
                  <c:v>Source &amp; emission inventories</c:v>
                </c:pt>
              </c:strCache>
            </c:strRef>
          </c:cat>
          <c:val>
            <c:numRef>
              <c:f>scoring_table!$F$2:$F$7</c:f>
              <c:numCache>
                <c:formatCode>General</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4-2F80-4949-A657-B19BF0778B12}"/>
            </c:ext>
          </c:extLst>
        </c:ser>
        <c:ser>
          <c:idx val="5"/>
          <c:order val="5"/>
          <c:tx>
            <c:strRef>
              <c:f>scoring_table!$G$1</c:f>
              <c:strCache>
                <c:ptCount val="1"/>
                <c:pt idx="0">
                  <c:v>Socioeconomic Resilience and Opportunity</c:v>
                </c:pt>
              </c:strCache>
            </c:strRef>
          </c:tx>
          <c:spPr>
            <a:solidFill>
              <a:schemeClr val="accent6"/>
            </a:solidFill>
            <a:ln>
              <a:noFill/>
            </a:ln>
            <a:effectLst/>
          </c:spPr>
          <c:invertIfNegative val="0"/>
          <c:cat>
            <c:strRef>
              <c:f>scoring_table!$A$2:$A$7</c:f>
              <c:strCache>
                <c:ptCount val="6"/>
                <c:pt idx="0">
                  <c:v>Data-sharing partnerships &amp; management tools</c:v>
                </c:pt>
                <c:pt idx="1">
                  <c:v>City/institutional buy-in, capacity building &amp; training</c:v>
                </c:pt>
                <c:pt idx="2">
                  <c:v>Public support &amp; engagement</c:v>
                </c:pt>
                <c:pt idx="3">
                  <c:v>Health &amp; economic impact modelling</c:v>
                </c:pt>
                <c:pt idx="4">
                  <c:v>Estimating air pollution</c:v>
                </c:pt>
                <c:pt idx="5">
                  <c:v>Source &amp; emission inventories</c:v>
                </c:pt>
              </c:strCache>
            </c:strRef>
          </c:cat>
          <c:val>
            <c:numRef>
              <c:f>scoring_table!$G$2:$G$7</c:f>
              <c:numCache>
                <c:formatCode>General</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5-2F80-4949-A657-B19BF0778B12}"/>
            </c:ext>
          </c:extLst>
        </c:ser>
        <c:ser>
          <c:idx val="6"/>
          <c:order val="6"/>
          <c:tx>
            <c:strRef>
              <c:f>scoring_table!$H$1</c:f>
              <c:strCache>
                <c:ptCount val="1"/>
                <c:pt idx="0">
                  <c:v>Access and Inclusivity</c:v>
                </c:pt>
              </c:strCache>
            </c:strRef>
          </c:tx>
          <c:spPr>
            <a:solidFill>
              <a:schemeClr val="accent1">
                <a:lumMod val="60000"/>
              </a:schemeClr>
            </a:solidFill>
            <a:ln>
              <a:noFill/>
            </a:ln>
            <a:effectLst/>
          </c:spPr>
          <c:invertIfNegative val="0"/>
          <c:cat>
            <c:strRef>
              <c:f>scoring_table!$A$2:$A$7</c:f>
              <c:strCache>
                <c:ptCount val="6"/>
                <c:pt idx="0">
                  <c:v>Data-sharing partnerships &amp; management tools</c:v>
                </c:pt>
                <c:pt idx="1">
                  <c:v>City/institutional buy-in, capacity building &amp; training</c:v>
                </c:pt>
                <c:pt idx="2">
                  <c:v>Public support &amp; engagement</c:v>
                </c:pt>
                <c:pt idx="3">
                  <c:v>Health &amp; economic impact modelling</c:v>
                </c:pt>
                <c:pt idx="4">
                  <c:v>Estimating air pollution</c:v>
                </c:pt>
                <c:pt idx="5">
                  <c:v>Source &amp; emission inventories</c:v>
                </c:pt>
              </c:strCache>
            </c:strRef>
          </c:cat>
          <c:val>
            <c:numRef>
              <c:f>scoring_table!$H$2:$H$7</c:f>
              <c:numCache>
                <c:formatCode>General</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6-2F80-4949-A657-B19BF0778B12}"/>
            </c:ext>
          </c:extLst>
        </c:ser>
        <c:dLbls>
          <c:showLegendKey val="0"/>
          <c:showVal val="0"/>
          <c:showCatName val="0"/>
          <c:showSerName val="0"/>
          <c:showPercent val="0"/>
          <c:showBubbleSize val="0"/>
        </c:dLbls>
        <c:gapWidth val="150"/>
        <c:axId val="279784512"/>
        <c:axId val="272557664"/>
      </c:barChart>
      <c:catAx>
        <c:axId val="2797845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solidFill>
                <a:latin typeface="Figtree" pitchFamily="2" charset="0"/>
                <a:ea typeface="+mn-ea"/>
                <a:cs typeface="+mn-cs"/>
              </a:defRPr>
            </a:pPr>
            <a:endParaRPr lang="en-US"/>
          </a:p>
        </c:txPr>
        <c:crossAx val="272557664"/>
        <c:crosses val="autoZero"/>
        <c:auto val="1"/>
        <c:lblAlgn val="ctr"/>
        <c:lblOffset val="100"/>
        <c:noMultiLvlLbl val="0"/>
      </c:catAx>
      <c:valAx>
        <c:axId val="272557664"/>
        <c:scaling>
          <c:orientation val="minMax"/>
          <c:max val="3"/>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Figtree" pitchFamily="2" charset="0"/>
                <a:ea typeface="+mn-ea"/>
                <a:cs typeface="+mn-cs"/>
              </a:defRPr>
            </a:pPr>
            <a:endParaRPr lang="en-US"/>
          </a:p>
        </c:txPr>
        <c:crossAx val="279784512"/>
        <c:crosses val="autoZero"/>
        <c:crossBetween val="between"/>
      </c:valAx>
      <c:spPr>
        <a:noFill/>
        <a:ln>
          <a:noFill/>
        </a:ln>
        <a:effectLst/>
      </c:spPr>
    </c:plotArea>
    <c:legend>
      <c:legendPos val="b"/>
      <c:layout>
        <c:manualLayout>
          <c:xMode val="edge"/>
          <c:yMode val="edge"/>
          <c:x val="7.2939673492451512E-3"/>
          <c:y val="0.84739756391040932"/>
          <c:w val="0.99150481856180772"/>
          <c:h val="0.1510434654113276"/>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Figtree" pitchFamily="2" charset="0"/>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200">
          <a:latin typeface="Figtree" pitchFamily="2" charset="0"/>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xdr:col>
      <xdr:colOff>914400</xdr:colOff>
      <xdr:row>2</xdr:row>
      <xdr:rowOff>88900</xdr:rowOff>
    </xdr:from>
    <xdr:to>
      <xdr:col>6</xdr:col>
      <xdr:colOff>2095500</xdr:colOff>
      <xdr:row>2</xdr:row>
      <xdr:rowOff>1148212</xdr:rowOff>
    </xdr:to>
    <xdr:pic>
      <xdr:nvPicPr>
        <xdr:cNvPr id="7" name="Picture 6">
          <a:extLst>
            <a:ext uri="{FF2B5EF4-FFF2-40B4-BE49-F238E27FC236}">
              <a16:creationId xmlns:a16="http://schemas.microsoft.com/office/drawing/2014/main" id="{CB9E09EE-CB56-3291-95AA-A85AD0490EB5}"/>
            </a:ext>
          </a:extLst>
        </xdr:cNvPr>
        <xdr:cNvPicPr>
          <a:picLocks noChangeAspect="1"/>
        </xdr:cNvPicPr>
      </xdr:nvPicPr>
      <xdr:blipFill>
        <a:blip xmlns:r="http://schemas.openxmlformats.org/officeDocument/2006/relationships" r:embed="rId1"/>
        <a:stretch>
          <a:fillRect/>
        </a:stretch>
      </xdr:blipFill>
      <xdr:spPr>
        <a:xfrm>
          <a:off x="1295400" y="508000"/>
          <a:ext cx="7772400" cy="105931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7</xdr:col>
      <xdr:colOff>183011</xdr:colOff>
      <xdr:row>1</xdr:row>
      <xdr:rowOff>69690</xdr:rowOff>
    </xdr:from>
    <xdr:to>
      <xdr:col>19</xdr:col>
      <xdr:colOff>143935</xdr:colOff>
      <xdr:row>2</xdr:row>
      <xdr:rowOff>934267</xdr:rowOff>
    </xdr:to>
    <xdr:sp macro="" textlink="">
      <xdr:nvSpPr>
        <xdr:cNvPr id="3" name="TextBox 2">
          <a:extLst>
            <a:ext uri="{FF2B5EF4-FFF2-40B4-BE49-F238E27FC236}">
              <a16:creationId xmlns:a16="http://schemas.microsoft.com/office/drawing/2014/main" id="{AB6FD9C8-1130-C2EE-F746-2426D36E848E}"/>
            </a:ext>
          </a:extLst>
        </xdr:cNvPr>
        <xdr:cNvSpPr txBox="1"/>
      </xdr:nvSpPr>
      <xdr:spPr>
        <a:xfrm>
          <a:off x="10194844" y="260190"/>
          <a:ext cx="3135924" cy="1055077"/>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i="1">
              <a:latin typeface="Figtree" pitchFamily="2" charset="0"/>
            </a:rPr>
            <a:t>These columns are used for </a:t>
          </a:r>
          <a:br>
            <a:rPr lang="en-US" sz="1100" i="1">
              <a:latin typeface="Figtree" pitchFamily="2" charset="0"/>
            </a:rPr>
          </a:br>
          <a:r>
            <a:rPr lang="en-US" sz="1100" i="1">
              <a:latin typeface="Figtree" pitchFamily="2" charset="0"/>
            </a:rPr>
            <a:t>scoring purposes</a:t>
          </a:r>
          <a:r>
            <a:rPr lang="en-US" sz="1100" i="1" baseline="0">
              <a:latin typeface="Figtree" pitchFamily="2" charset="0"/>
            </a:rPr>
            <a:t> only.</a:t>
          </a:r>
        </a:p>
      </xdr:txBody>
    </xdr:sp>
    <xdr:clientData/>
  </xdr:twoCellAnchor>
  <xdr:twoCellAnchor>
    <xdr:from>
      <xdr:col>7</xdr:col>
      <xdr:colOff>126273</xdr:colOff>
      <xdr:row>16</xdr:row>
      <xdr:rowOff>114163</xdr:rowOff>
    </xdr:from>
    <xdr:to>
      <xdr:col>19</xdr:col>
      <xdr:colOff>87197</xdr:colOff>
      <xdr:row>23</xdr:row>
      <xdr:rowOff>94463</xdr:rowOff>
    </xdr:to>
    <xdr:sp macro="" textlink="">
      <xdr:nvSpPr>
        <xdr:cNvPr id="4" name="TextBox 3">
          <a:extLst>
            <a:ext uri="{FF2B5EF4-FFF2-40B4-BE49-F238E27FC236}">
              <a16:creationId xmlns:a16="http://schemas.microsoft.com/office/drawing/2014/main" id="{A67AD3F9-9E53-DB4F-8E99-58FDF01BC0C1}"/>
            </a:ext>
          </a:extLst>
        </xdr:cNvPr>
        <xdr:cNvSpPr txBox="1"/>
      </xdr:nvSpPr>
      <xdr:spPr>
        <a:xfrm>
          <a:off x="8113628" y="13443915"/>
          <a:ext cx="3109685" cy="1061374"/>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i="1">
              <a:latin typeface="Figtree" pitchFamily="2" charset="0"/>
            </a:rPr>
            <a:t>These columns are used for </a:t>
          </a:r>
          <a:br>
            <a:rPr lang="en-US" sz="1100" i="1">
              <a:latin typeface="Figtree" pitchFamily="2" charset="0"/>
            </a:rPr>
          </a:br>
          <a:r>
            <a:rPr lang="en-US" sz="1100" i="1">
              <a:latin typeface="Figtree" pitchFamily="2" charset="0"/>
            </a:rPr>
            <a:t>scoring purposes</a:t>
          </a:r>
          <a:r>
            <a:rPr lang="en-US" sz="1100" i="1" baseline="0">
              <a:latin typeface="Figtree" pitchFamily="2" charset="0"/>
            </a:rPr>
            <a:t> only.</a:t>
          </a:r>
        </a:p>
      </xdr:txBody>
    </xdr:sp>
    <xdr:clientData/>
  </xdr:twoCellAnchor>
  <xdr:twoCellAnchor editAs="oneCell">
    <xdr:from>
      <xdr:col>2</xdr:col>
      <xdr:colOff>723900</xdr:colOff>
      <xdr:row>2</xdr:row>
      <xdr:rowOff>101600</xdr:rowOff>
    </xdr:from>
    <xdr:to>
      <xdr:col>4</xdr:col>
      <xdr:colOff>2019300</xdr:colOff>
      <xdr:row>2</xdr:row>
      <xdr:rowOff>1160912</xdr:rowOff>
    </xdr:to>
    <xdr:pic>
      <xdr:nvPicPr>
        <xdr:cNvPr id="2" name="Picture 1">
          <a:extLst>
            <a:ext uri="{FF2B5EF4-FFF2-40B4-BE49-F238E27FC236}">
              <a16:creationId xmlns:a16="http://schemas.microsoft.com/office/drawing/2014/main" id="{01B02FD4-CA40-6D29-E5DE-BF48D79F306E}"/>
            </a:ext>
          </a:extLst>
        </xdr:cNvPr>
        <xdr:cNvPicPr>
          <a:picLocks noChangeAspect="1"/>
        </xdr:cNvPicPr>
      </xdr:nvPicPr>
      <xdr:blipFill>
        <a:blip xmlns:r="http://schemas.openxmlformats.org/officeDocument/2006/relationships" r:embed="rId1"/>
        <a:stretch>
          <a:fillRect/>
        </a:stretch>
      </xdr:blipFill>
      <xdr:spPr>
        <a:xfrm>
          <a:off x="1104900" y="482600"/>
          <a:ext cx="7772400" cy="1059312"/>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1</xdr:col>
      <xdr:colOff>25400</xdr:colOff>
      <xdr:row>5</xdr:row>
      <xdr:rowOff>25400</xdr:rowOff>
    </xdr:from>
    <xdr:to>
      <xdr:col>5</xdr:col>
      <xdr:colOff>1574800</xdr:colOff>
      <xdr:row>5</xdr:row>
      <xdr:rowOff>4762500</xdr:rowOff>
    </xdr:to>
    <xdr:graphicFrame macro="">
      <xdr:nvGraphicFramePr>
        <xdr:cNvPr id="3" name="Chart 2">
          <a:extLst>
            <a:ext uri="{FF2B5EF4-FFF2-40B4-BE49-F238E27FC236}">
              <a16:creationId xmlns:a16="http://schemas.microsoft.com/office/drawing/2014/main" id="{FEB9DF1E-12E8-4941-BE67-24EAFA93C4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2</xdr:col>
      <xdr:colOff>139699</xdr:colOff>
      <xdr:row>2</xdr:row>
      <xdr:rowOff>49942</xdr:rowOff>
    </xdr:from>
    <xdr:to>
      <xdr:col>4</xdr:col>
      <xdr:colOff>1489470</xdr:colOff>
      <xdr:row>2</xdr:row>
      <xdr:rowOff>863600</xdr:rowOff>
    </xdr:to>
    <xdr:pic>
      <xdr:nvPicPr>
        <xdr:cNvPr id="4" name="Picture 3">
          <a:extLst>
            <a:ext uri="{FF2B5EF4-FFF2-40B4-BE49-F238E27FC236}">
              <a16:creationId xmlns:a16="http://schemas.microsoft.com/office/drawing/2014/main" id="{F78AB260-85B7-6DB9-462F-3340DA859C02}"/>
            </a:ext>
          </a:extLst>
        </xdr:cNvPr>
        <xdr:cNvPicPr>
          <a:picLocks noChangeAspect="1"/>
        </xdr:cNvPicPr>
      </xdr:nvPicPr>
      <xdr:blipFill>
        <a:blip xmlns:r="http://schemas.openxmlformats.org/officeDocument/2006/relationships" r:embed="rId2"/>
        <a:stretch>
          <a:fillRect/>
        </a:stretch>
      </xdr:blipFill>
      <xdr:spPr>
        <a:xfrm>
          <a:off x="1917699" y="430942"/>
          <a:ext cx="4715271" cy="813658"/>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5</xdr:col>
      <xdr:colOff>520380</xdr:colOff>
      <xdr:row>1</xdr:row>
      <xdr:rowOff>154961</xdr:rowOff>
    </xdr:from>
    <xdr:to>
      <xdr:col>5</xdr:col>
      <xdr:colOff>3721099</xdr:colOff>
      <xdr:row>6</xdr:row>
      <xdr:rowOff>2329278</xdr:rowOff>
    </xdr:to>
    <xdr:pic>
      <xdr:nvPicPr>
        <xdr:cNvPr id="6" name="Picture 5">
          <a:extLst>
            <a:ext uri="{FF2B5EF4-FFF2-40B4-BE49-F238E27FC236}">
              <a16:creationId xmlns:a16="http://schemas.microsoft.com/office/drawing/2014/main" id="{5076ACCA-E58F-F0C7-8227-A2398157DB07}"/>
            </a:ext>
          </a:extLst>
        </xdr:cNvPr>
        <xdr:cNvPicPr>
          <a:picLocks noChangeAspect="1"/>
        </xdr:cNvPicPr>
      </xdr:nvPicPr>
      <xdr:blipFill>
        <a:blip xmlns:r="http://schemas.openxmlformats.org/officeDocument/2006/relationships" r:embed="rId1"/>
        <a:stretch>
          <a:fillRect/>
        </a:stretch>
      </xdr:blipFill>
      <xdr:spPr>
        <a:xfrm>
          <a:off x="8330880" y="345461"/>
          <a:ext cx="3200719" cy="4523817"/>
        </a:xfrm>
        <a:prstGeom prst="rect">
          <a:avLst/>
        </a:prstGeom>
      </xdr:spPr>
    </xdr:pic>
    <xdr:clientData/>
  </xdr:twoCellAnchor>
  <xdr:twoCellAnchor editAs="oneCell">
    <xdr:from>
      <xdr:col>2</xdr:col>
      <xdr:colOff>723900</xdr:colOff>
      <xdr:row>2</xdr:row>
      <xdr:rowOff>38100</xdr:rowOff>
    </xdr:from>
    <xdr:to>
      <xdr:col>4</xdr:col>
      <xdr:colOff>2933700</xdr:colOff>
      <xdr:row>2</xdr:row>
      <xdr:rowOff>893166</xdr:rowOff>
    </xdr:to>
    <xdr:pic>
      <xdr:nvPicPr>
        <xdr:cNvPr id="2" name="Picture 1">
          <a:extLst>
            <a:ext uri="{FF2B5EF4-FFF2-40B4-BE49-F238E27FC236}">
              <a16:creationId xmlns:a16="http://schemas.microsoft.com/office/drawing/2014/main" id="{E683DBFB-6B73-1F44-A660-666D3D1E826C}"/>
            </a:ext>
          </a:extLst>
        </xdr:cNvPr>
        <xdr:cNvPicPr>
          <a:picLocks noChangeAspect="1"/>
        </xdr:cNvPicPr>
      </xdr:nvPicPr>
      <xdr:blipFill>
        <a:blip xmlns:r="http://schemas.openxmlformats.org/officeDocument/2006/relationships" r:embed="rId2"/>
        <a:stretch>
          <a:fillRect/>
        </a:stretch>
      </xdr:blipFill>
      <xdr:spPr>
        <a:xfrm>
          <a:off x="1104900" y="419100"/>
          <a:ext cx="6273800" cy="855066"/>
        </a:xfrm>
        <a:prstGeom prst="rect">
          <a:avLst/>
        </a:prstGeom>
      </xdr:spPr>
    </xdr:pic>
    <xdr:clientData/>
  </xdr:twoCellAnchor>
  <xdr:twoCellAnchor>
    <xdr:from>
      <xdr:col>8</xdr:col>
      <xdr:colOff>139700</xdr:colOff>
      <xdr:row>1</xdr:row>
      <xdr:rowOff>63500</xdr:rowOff>
    </xdr:from>
    <xdr:to>
      <xdr:col>20</xdr:col>
      <xdr:colOff>75224</xdr:colOff>
      <xdr:row>3</xdr:row>
      <xdr:rowOff>977</xdr:rowOff>
    </xdr:to>
    <xdr:sp macro="" textlink="">
      <xdr:nvSpPr>
        <xdr:cNvPr id="3" name="TextBox 2">
          <a:extLst>
            <a:ext uri="{FF2B5EF4-FFF2-40B4-BE49-F238E27FC236}">
              <a16:creationId xmlns:a16="http://schemas.microsoft.com/office/drawing/2014/main" id="{19D2D2D3-9994-8D47-971C-AAAD3A43BF36}"/>
            </a:ext>
          </a:extLst>
        </xdr:cNvPr>
        <xdr:cNvSpPr txBox="1"/>
      </xdr:nvSpPr>
      <xdr:spPr>
        <a:xfrm>
          <a:off x="8331200" y="254000"/>
          <a:ext cx="3135924" cy="1055077"/>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i="1">
              <a:latin typeface="Figtree" pitchFamily="2" charset="0"/>
            </a:rPr>
            <a:t>These columns are used for </a:t>
          </a:r>
          <a:br>
            <a:rPr lang="en-US" sz="1100" i="1">
              <a:latin typeface="Figtree" pitchFamily="2" charset="0"/>
            </a:rPr>
          </a:br>
          <a:r>
            <a:rPr lang="en-US" sz="1100" i="1">
              <a:latin typeface="Figtree" pitchFamily="2" charset="0"/>
            </a:rPr>
            <a:t>scoring purposes</a:t>
          </a:r>
          <a:r>
            <a:rPr lang="en-US" sz="1100" i="1" baseline="0">
              <a:latin typeface="Figtree" pitchFamily="2" charset="0"/>
            </a:rPr>
            <a:t> only.</a:t>
          </a: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2</xdr:col>
      <xdr:colOff>698500</xdr:colOff>
      <xdr:row>2</xdr:row>
      <xdr:rowOff>43272</xdr:rowOff>
    </xdr:from>
    <xdr:to>
      <xdr:col>2</xdr:col>
      <xdr:colOff>6654800</xdr:colOff>
      <xdr:row>2</xdr:row>
      <xdr:rowOff>855065</xdr:rowOff>
    </xdr:to>
    <xdr:pic>
      <xdr:nvPicPr>
        <xdr:cNvPr id="2" name="Picture 1">
          <a:extLst>
            <a:ext uri="{FF2B5EF4-FFF2-40B4-BE49-F238E27FC236}">
              <a16:creationId xmlns:a16="http://schemas.microsoft.com/office/drawing/2014/main" id="{BF469AE2-BC06-CC4A-8CC1-886191002783}"/>
            </a:ext>
          </a:extLst>
        </xdr:cNvPr>
        <xdr:cNvPicPr>
          <a:picLocks noChangeAspect="1"/>
        </xdr:cNvPicPr>
      </xdr:nvPicPr>
      <xdr:blipFill>
        <a:blip xmlns:r="http://schemas.openxmlformats.org/officeDocument/2006/relationships" r:embed="rId1"/>
        <a:stretch>
          <a:fillRect/>
        </a:stretch>
      </xdr:blipFill>
      <xdr:spPr>
        <a:xfrm>
          <a:off x="1079500" y="462372"/>
          <a:ext cx="5956300" cy="81179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movementstrategy.org/wp-content/uploads/2021/08/The-Spectrum-of-Community-Engagement-to-Ownership.pdf" TargetMode="External"/><Relationship Id="rId2" Type="http://schemas.openxmlformats.org/officeDocument/2006/relationships/hyperlink" Target="https://www.c40knowledgehub.org/s/article/Clean-air-healthy-planet-A-framework-for-integrating-air-quality-management-and-climate-action-planning?language=en_US" TargetMode="External"/><Relationship Id="rId1" Type="http://schemas.openxmlformats.org/officeDocument/2006/relationships/hyperlink" Target="https://www.c40knowledgehub.org/s/article/Clean-air-healthy-and-thriving-communities-Opportunities-for-city-leadership" TargetMode="External"/><Relationship Id="rId6" Type="http://schemas.openxmlformats.org/officeDocument/2006/relationships/drawing" Target="../drawings/drawing1.xml"/><Relationship Id="rId5" Type="http://schemas.openxmlformats.org/officeDocument/2006/relationships/hyperlink" Target="https://www.c40knowledgehub.org/s/article/Clean-air-healthy-and-thriving-communities-Opportunities-for-city-leadership" TargetMode="External"/><Relationship Id="rId4" Type="http://schemas.openxmlformats.org/officeDocument/2006/relationships/hyperlink" Target="https://www.c40knowledgehub.org/s/article/Inclusive-Community-Engagement-Playbook?language=en_US"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982B3-C9BB-AA47-9F76-AD1F963F2024}">
  <sheetPr codeName="Sheet1"/>
  <dimension ref="A1:I43"/>
  <sheetViews>
    <sheetView tabSelected="1" zoomScale="120" zoomScaleNormal="120" workbookViewId="0"/>
  </sheetViews>
  <sheetFormatPr baseColWidth="10" defaultColWidth="0" defaultRowHeight="16" zeroHeight="1"/>
  <cols>
    <col min="1" max="1" width="2.5" style="4" customWidth="1"/>
    <col min="2" max="2" width="2.5" style="51" customWidth="1"/>
    <col min="3" max="3" width="79" style="20" customWidth="1"/>
    <col min="4" max="4" width="2.5" style="20" customWidth="1"/>
    <col min="5" max="5" width="2.5" style="4" customWidth="1"/>
    <col min="6" max="6" width="2.5" style="132" customWidth="1"/>
    <col min="7" max="7" width="36.33203125" style="55" customWidth="1"/>
    <col min="8" max="8" width="2.5" style="51" customWidth="1"/>
    <col min="9" max="9" width="2.5" style="4" customWidth="1"/>
    <col min="10" max="16384" width="10.83203125" hidden="1"/>
  </cols>
  <sheetData>
    <row r="1" spans="1:9">
      <c r="A1" s="2"/>
      <c r="B1" s="2"/>
      <c r="C1" s="2"/>
      <c r="D1" s="2"/>
      <c r="E1" s="2"/>
      <c r="F1" s="2"/>
      <c r="G1" s="2"/>
      <c r="H1" s="3"/>
      <c r="I1" s="2"/>
    </row>
    <row r="2" spans="1:9" ht="17" thickBot="1">
      <c r="A2" s="106"/>
      <c r="B2" s="38"/>
      <c r="C2" s="37"/>
      <c r="D2" s="37"/>
      <c r="E2" s="37"/>
      <c r="F2" s="37"/>
      <c r="G2" s="37"/>
      <c r="H2" s="41"/>
    </row>
    <row r="3" spans="1:9" ht="98" customHeight="1" thickBot="1">
      <c r="B3" s="39"/>
      <c r="C3" s="182" t="s">
        <v>1</v>
      </c>
      <c r="D3" s="183"/>
      <c r="E3" s="183"/>
      <c r="F3" s="183"/>
      <c r="G3" s="184"/>
      <c r="H3" s="42"/>
    </row>
    <row r="4" spans="1:9" ht="19">
      <c r="B4" s="39"/>
      <c r="C4" s="181" t="s">
        <v>375</v>
      </c>
      <c r="D4" s="181"/>
      <c r="E4" s="181"/>
      <c r="F4" s="181"/>
      <c r="G4" s="181"/>
      <c r="H4" s="42"/>
    </row>
    <row r="5" spans="1:9" ht="17" customHeight="1">
      <c r="B5" s="39"/>
      <c r="C5" s="51"/>
      <c r="D5" s="51"/>
      <c r="E5" s="51"/>
      <c r="F5" s="51"/>
      <c r="G5" s="51"/>
      <c r="H5" s="42"/>
    </row>
    <row r="6" spans="1:9" ht="28" customHeight="1">
      <c r="B6" s="39"/>
      <c r="C6" s="180" t="s">
        <v>376</v>
      </c>
      <c r="D6" s="180"/>
      <c r="E6" s="180"/>
      <c r="F6" s="180"/>
      <c r="G6" s="180"/>
      <c r="H6" s="42"/>
    </row>
    <row r="7" spans="1:9" ht="17" customHeight="1">
      <c r="B7" s="63"/>
      <c r="C7" s="179"/>
      <c r="D7" s="179"/>
      <c r="E7" s="179"/>
      <c r="F7" s="145"/>
      <c r="G7" s="145"/>
      <c r="H7" s="66"/>
    </row>
    <row r="8" spans="1:9">
      <c r="B8" s="4"/>
      <c r="C8" s="4"/>
      <c r="D8" s="4"/>
      <c r="F8" s="4"/>
      <c r="G8" s="4"/>
      <c r="H8" s="4"/>
    </row>
    <row r="9" spans="1:9" ht="17" customHeight="1" thickBot="1">
      <c r="B9" s="38"/>
      <c r="C9" s="21"/>
      <c r="D9" s="172"/>
      <c r="F9" s="175"/>
      <c r="G9" s="176"/>
      <c r="H9" s="41"/>
    </row>
    <row r="10" spans="1:9" ht="20">
      <c r="B10" s="39"/>
      <c r="C10" s="133" t="s">
        <v>377</v>
      </c>
      <c r="D10" s="99"/>
      <c r="F10" s="177"/>
      <c r="G10" s="135" t="s">
        <v>386</v>
      </c>
      <c r="H10" s="42"/>
    </row>
    <row r="11" spans="1:9" ht="77" customHeight="1">
      <c r="B11" s="39"/>
      <c r="C11" s="158" t="s">
        <v>508</v>
      </c>
      <c r="D11" s="99"/>
      <c r="F11" s="177"/>
      <c r="G11" s="221" t="s">
        <v>509</v>
      </c>
      <c r="H11" s="42"/>
    </row>
    <row r="12" spans="1:9" ht="128" customHeight="1">
      <c r="B12" s="39"/>
      <c r="C12" s="134" t="s">
        <v>510</v>
      </c>
      <c r="D12" s="99"/>
      <c r="F12" s="177"/>
      <c r="G12" s="159" t="s">
        <v>511</v>
      </c>
      <c r="H12" s="42"/>
    </row>
    <row r="13" spans="1:9" ht="44" customHeight="1">
      <c r="B13" s="39"/>
      <c r="C13" s="158" t="s">
        <v>512</v>
      </c>
      <c r="D13" s="99"/>
      <c r="F13" s="177"/>
      <c r="G13" s="160" t="s">
        <v>513</v>
      </c>
      <c r="H13" s="42"/>
    </row>
    <row r="14" spans="1:9" ht="127" customHeight="1">
      <c r="B14" s="39"/>
      <c r="C14" s="158" t="s">
        <v>514</v>
      </c>
      <c r="D14" s="99"/>
      <c r="F14" s="177"/>
      <c r="G14" s="159" t="s">
        <v>515</v>
      </c>
      <c r="H14" s="42"/>
    </row>
    <row r="15" spans="1:9" ht="54" customHeight="1">
      <c r="B15" s="39"/>
      <c r="C15" s="158" t="s">
        <v>516</v>
      </c>
      <c r="D15" s="99"/>
      <c r="F15" s="177"/>
      <c r="G15" s="161" t="s">
        <v>517</v>
      </c>
      <c r="H15" s="42"/>
    </row>
    <row r="16" spans="1:9" ht="64" customHeight="1">
      <c r="B16" s="39"/>
      <c r="C16" s="158" t="s">
        <v>518</v>
      </c>
      <c r="D16" s="99"/>
      <c r="F16" s="177"/>
      <c r="G16" s="163" t="s">
        <v>519</v>
      </c>
      <c r="H16" s="42"/>
    </row>
    <row r="17" spans="2:8" ht="67" customHeight="1" thickBot="1">
      <c r="B17" s="39"/>
      <c r="C17" s="162" t="s">
        <v>520</v>
      </c>
      <c r="D17" s="173"/>
      <c r="F17" s="177"/>
      <c r="G17" s="164" t="s">
        <v>521</v>
      </c>
      <c r="H17" s="42"/>
    </row>
    <row r="18" spans="2:8" ht="17" thickBot="1">
      <c r="B18" s="39"/>
      <c r="D18" s="173"/>
      <c r="F18" s="177"/>
      <c r="H18" s="42"/>
    </row>
    <row r="19" spans="2:8" ht="20" customHeight="1" thickBot="1">
      <c r="B19" s="39"/>
      <c r="C19" s="133" t="s">
        <v>378</v>
      </c>
      <c r="D19" s="173"/>
      <c r="F19" s="177"/>
      <c r="G19" s="165" t="s">
        <v>522</v>
      </c>
      <c r="H19" s="42"/>
    </row>
    <row r="20" spans="2:8" ht="195" customHeight="1">
      <c r="B20" s="39"/>
      <c r="C20" s="137" t="s">
        <v>523</v>
      </c>
      <c r="D20" s="173"/>
      <c r="F20" s="177"/>
      <c r="G20" s="185" t="s">
        <v>524</v>
      </c>
      <c r="H20" s="42"/>
    </row>
    <row r="21" spans="2:8" ht="123" customHeight="1" thickBot="1">
      <c r="B21" s="39"/>
      <c r="C21" s="138" t="s">
        <v>525</v>
      </c>
      <c r="D21" s="173"/>
      <c r="F21" s="177"/>
      <c r="G21" s="186"/>
      <c r="H21" s="42"/>
    </row>
    <row r="22" spans="2:8" ht="17" thickBot="1">
      <c r="B22" s="39"/>
      <c r="D22" s="173"/>
      <c r="F22" s="177"/>
      <c r="H22" s="42"/>
    </row>
    <row r="23" spans="2:8" ht="21" thickBot="1">
      <c r="B23" s="39"/>
      <c r="C23" s="133" t="s">
        <v>379</v>
      </c>
      <c r="D23" s="173"/>
      <c r="F23" s="177"/>
      <c r="G23" s="165" t="s">
        <v>522</v>
      </c>
      <c r="H23" s="42"/>
    </row>
    <row r="24" spans="2:8" ht="257" thickBot="1">
      <c r="B24" s="39"/>
      <c r="C24" s="162" t="s">
        <v>526</v>
      </c>
      <c r="D24" s="173"/>
      <c r="F24" s="177"/>
      <c r="G24" s="166" t="s">
        <v>533</v>
      </c>
      <c r="H24" s="42"/>
    </row>
    <row r="25" spans="2:8" ht="17" thickBot="1">
      <c r="B25" s="39"/>
      <c r="D25" s="173"/>
      <c r="F25" s="177"/>
      <c r="H25" s="42"/>
    </row>
    <row r="26" spans="2:8" ht="21" thickBot="1">
      <c r="B26" s="39"/>
      <c r="C26" s="133" t="s">
        <v>527</v>
      </c>
      <c r="D26" s="173"/>
      <c r="F26" s="177"/>
      <c r="G26" s="135" t="s">
        <v>386</v>
      </c>
      <c r="H26" s="42"/>
    </row>
    <row r="27" spans="2:8">
      <c r="B27" s="39"/>
      <c r="C27" s="150" t="s">
        <v>380</v>
      </c>
      <c r="D27" s="173"/>
      <c r="F27" s="177"/>
      <c r="G27" s="167"/>
      <c r="H27" s="42"/>
    </row>
    <row r="28" spans="2:8" ht="51" customHeight="1">
      <c r="B28" s="39"/>
      <c r="C28" s="158" t="s">
        <v>528</v>
      </c>
      <c r="D28" s="173"/>
      <c r="F28" s="177"/>
      <c r="G28" s="137" t="s">
        <v>529</v>
      </c>
      <c r="H28" s="42"/>
    </row>
    <row r="29" spans="2:8" ht="55" customHeight="1">
      <c r="B29" s="39"/>
      <c r="C29" s="158" t="s">
        <v>530</v>
      </c>
      <c r="D29" s="173"/>
      <c r="F29" s="177"/>
      <c r="G29" s="168" t="s">
        <v>381</v>
      </c>
      <c r="H29" s="42"/>
    </row>
    <row r="30" spans="2:8" ht="33" customHeight="1">
      <c r="B30" s="39"/>
      <c r="C30" s="158" t="s">
        <v>531</v>
      </c>
      <c r="D30" s="173"/>
      <c r="F30" s="177"/>
      <c r="G30" s="169" t="s">
        <v>532</v>
      </c>
      <c r="H30" s="42"/>
    </row>
    <row r="31" spans="2:8" ht="22" customHeight="1">
      <c r="B31" s="39"/>
      <c r="C31" s="170" t="s">
        <v>29</v>
      </c>
      <c r="D31" s="173"/>
      <c r="F31" s="177"/>
      <c r="G31" s="152"/>
      <c r="H31" s="42"/>
    </row>
    <row r="32" spans="2:8" ht="74" customHeight="1">
      <c r="B32" s="39"/>
      <c r="C32" s="137" t="s">
        <v>242</v>
      </c>
      <c r="D32" s="173"/>
      <c r="F32" s="177"/>
      <c r="G32" s="159" t="s">
        <v>511</v>
      </c>
      <c r="H32" s="42"/>
    </row>
    <row r="33" spans="1:9" ht="25" customHeight="1">
      <c r="B33" s="39"/>
      <c r="C33" s="170" t="s">
        <v>417</v>
      </c>
      <c r="D33" s="173"/>
      <c r="F33" s="177"/>
      <c r="G33" s="152"/>
      <c r="H33" s="42"/>
    </row>
    <row r="34" spans="1:9" ht="79" customHeight="1">
      <c r="B34" s="39"/>
      <c r="C34" s="137" t="s">
        <v>242</v>
      </c>
      <c r="D34" s="173"/>
      <c r="F34" s="177"/>
      <c r="G34" s="152"/>
      <c r="H34" s="42"/>
    </row>
    <row r="35" spans="1:9">
      <c r="B35" s="39"/>
      <c r="C35" s="170" t="s">
        <v>31</v>
      </c>
      <c r="D35" s="173"/>
      <c r="F35" s="177"/>
      <c r="G35" s="152"/>
      <c r="H35" s="42"/>
    </row>
    <row r="36" spans="1:9" ht="81" thickBot="1">
      <c r="B36" s="39"/>
      <c r="C36" s="138" t="s">
        <v>244</v>
      </c>
      <c r="D36" s="173"/>
      <c r="F36" s="177"/>
      <c r="G36" s="136"/>
      <c r="H36" s="42"/>
    </row>
    <row r="37" spans="1:9" ht="17" thickBot="1">
      <c r="B37" s="39"/>
      <c r="D37" s="173"/>
      <c r="F37" s="177"/>
      <c r="H37" s="42"/>
    </row>
    <row r="38" spans="1:9" ht="21" thickBot="1">
      <c r="B38" s="39"/>
      <c r="C38" s="133" t="s">
        <v>382</v>
      </c>
      <c r="D38" s="173"/>
      <c r="F38" s="177"/>
      <c r="G38" s="171" t="s">
        <v>386</v>
      </c>
      <c r="H38" s="42"/>
    </row>
    <row r="39" spans="1:9" ht="41" customHeight="1">
      <c r="B39" s="39"/>
      <c r="C39" s="151" t="s">
        <v>383</v>
      </c>
      <c r="D39" s="173"/>
      <c r="F39" s="177"/>
      <c r="G39" s="187" t="s">
        <v>384</v>
      </c>
      <c r="H39" s="42"/>
    </row>
    <row r="40" spans="1:9" ht="56" customHeight="1">
      <c r="B40" s="39"/>
      <c r="C40" s="151" t="s">
        <v>302</v>
      </c>
      <c r="D40" s="173"/>
      <c r="F40" s="177"/>
      <c r="G40" s="188"/>
      <c r="H40" s="42"/>
    </row>
    <row r="41" spans="1:9" ht="32" customHeight="1" thickBot="1">
      <c r="B41" s="39"/>
      <c r="C41" s="149" t="s">
        <v>385</v>
      </c>
      <c r="D41" s="173"/>
      <c r="F41" s="177"/>
      <c r="G41" s="189"/>
      <c r="H41" s="42"/>
    </row>
    <row r="42" spans="1:9">
      <c r="B42" s="63"/>
      <c r="C42" s="64"/>
      <c r="D42" s="174"/>
      <c r="F42" s="178"/>
      <c r="G42" s="65"/>
      <c r="H42" s="66"/>
    </row>
    <row r="43" spans="1:9" s="153" customFormat="1">
      <c r="A43" s="4"/>
      <c r="B43" s="12"/>
      <c r="C43" s="17"/>
      <c r="D43" s="17"/>
      <c r="E43" s="4"/>
      <c r="F43" s="4"/>
      <c r="G43" s="9"/>
      <c r="H43" s="12"/>
      <c r="I43" s="4"/>
    </row>
  </sheetData>
  <mergeCells count="6">
    <mergeCell ref="G39:G41"/>
    <mergeCell ref="C7:E7"/>
    <mergeCell ref="C6:G6"/>
    <mergeCell ref="C4:G4"/>
    <mergeCell ref="C3:G3"/>
    <mergeCell ref="G20:G21"/>
  </mergeCells>
  <hyperlinks>
    <hyperlink ref="G12" r:id="rId1" display="[1] Clean air, healthy and thriving communities: Opportunities for city leadership" xr:uid="{2A45BAE0-6974-D04C-8F1D-36973CC83278}"/>
    <hyperlink ref="G14" r:id="rId2" display="Clean Air, Healthy Planet: A framework for integrating air quality management and climate action planning " xr:uid="{45088CD0-9656-7142-BFC8-311F6674E546}"/>
    <hyperlink ref="G16" r:id="rId3" xr:uid="{AEA31B32-5823-D74B-86AF-7E40364B31C7}"/>
    <hyperlink ref="G17" r:id="rId4" xr:uid="{CF711F3F-F013-FE47-9857-495CC6366E1E}"/>
    <hyperlink ref="G29" location="Definitions!A1" display="Additional descriptions on categories, domains, and themes of equity used throughout this tool" xr:uid="{7439F4DB-1693-184F-B545-BFF6C697982D}"/>
    <hyperlink ref="G32" r:id="rId5" display="[1] Clean air, healthy and thriving communities: Opportunities for city leadership" xr:uid="{B3A0664F-4FD3-334A-8070-F39EF86741DE}"/>
    <hyperlink ref="G39" location="'Self-Assessment'!A1" display="You can find a more detailed description of the scoring system in the 'self-assesment' tab" xr:uid="{923A52CF-828F-BA48-ABBE-B273E383C372}"/>
  </hyperlinks>
  <pageMargins left="0.7" right="0.7" top="0.75" bottom="0.75" header="0.3" footer="0.3"/>
  <pageSetup scale="64" orientation="portrait" horizontalDpi="0" verticalDpi="0"/>
  <rowBreaks count="2" manualBreakCount="2">
    <brk id="14" min="2" max="7" man="1"/>
    <brk id="25" max="16383" man="1"/>
  </rowBreaks>
  <drawing r:id="rId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750433-33A8-C24D-8B94-69139ED2E967}">
  <sheetPr codeName="Sheet2"/>
  <dimension ref="A1:T125"/>
  <sheetViews>
    <sheetView view="pageBreakPreview" zoomScale="63" zoomScaleNormal="120" zoomScaleSheetLayoutView="63" workbookViewId="0"/>
  </sheetViews>
  <sheetFormatPr baseColWidth="10" defaultColWidth="0" defaultRowHeight="16" zeroHeight="1" outlineLevelRow="2"/>
  <cols>
    <col min="1" max="1" width="2.5" style="4" customWidth="1"/>
    <col min="2" max="2" width="2.5" style="5" customWidth="1"/>
    <col min="3" max="3" width="68.6640625" style="6" customWidth="1"/>
    <col min="4" max="4" width="16.33203125" style="7" customWidth="1"/>
    <col min="5" max="5" width="36.33203125" style="7" customWidth="1"/>
    <col min="6" max="6" width="2.5" style="5" customWidth="1"/>
    <col min="7" max="7" width="2.5" style="4" customWidth="1"/>
    <col min="8" max="8" width="3.5" style="8" customWidth="1"/>
    <col min="9" max="12" width="3.5" style="9" customWidth="1"/>
    <col min="13" max="13" width="3.5" style="10" customWidth="1"/>
    <col min="14" max="16" width="3.5" style="9" customWidth="1"/>
    <col min="17" max="17" width="3.5" style="10" customWidth="1"/>
    <col min="18" max="19" width="3.5" style="9" customWidth="1"/>
    <col min="20" max="20" width="3.5" style="10" customWidth="1"/>
    <col min="21" max="16384" width="10.83203125" style="5" hidden="1"/>
  </cols>
  <sheetData>
    <row r="1" spans="1:20" s="3" customFormat="1" ht="15" customHeight="1">
      <c r="A1" s="2" t="s">
        <v>0</v>
      </c>
      <c r="B1" s="2" t="s">
        <v>52</v>
      </c>
      <c r="C1" s="2" t="s">
        <v>40</v>
      </c>
      <c r="D1" s="2" t="s">
        <v>206</v>
      </c>
      <c r="E1" s="2" t="s">
        <v>369</v>
      </c>
      <c r="G1" s="2"/>
      <c r="H1" s="8" t="s">
        <v>8</v>
      </c>
      <c r="I1" s="9" t="s">
        <v>9</v>
      </c>
      <c r="J1" s="9" t="s">
        <v>10</v>
      </c>
      <c r="K1" s="9" t="s">
        <v>11</v>
      </c>
      <c r="L1" s="9" t="s">
        <v>12</v>
      </c>
      <c r="M1" s="10" t="s">
        <v>13</v>
      </c>
      <c r="N1" s="9" t="s">
        <v>16</v>
      </c>
      <c r="O1" s="9" t="s">
        <v>17</v>
      </c>
      <c r="P1" s="9" t="s">
        <v>18</v>
      </c>
      <c r="Q1" s="10" t="s">
        <v>19</v>
      </c>
      <c r="R1" s="9" t="s">
        <v>21</v>
      </c>
      <c r="S1" s="9" t="s">
        <v>22</v>
      </c>
      <c r="T1" s="10" t="s">
        <v>23</v>
      </c>
    </row>
    <row r="2" spans="1:20" ht="15" customHeight="1" thickBot="1">
      <c r="A2" s="106" t="s">
        <v>507</v>
      </c>
      <c r="B2" s="38"/>
      <c r="C2" s="37"/>
      <c r="D2" s="37"/>
      <c r="E2" s="37"/>
      <c r="F2" s="41"/>
      <c r="H2" s="11"/>
      <c r="I2" s="12"/>
      <c r="J2" s="12"/>
      <c r="K2" s="12"/>
      <c r="L2" s="12"/>
      <c r="M2" s="13"/>
      <c r="N2" s="12"/>
      <c r="O2" s="12"/>
      <c r="P2" s="12"/>
      <c r="Q2" s="13"/>
      <c r="R2" s="12"/>
      <c r="S2" s="12"/>
      <c r="T2" s="13"/>
    </row>
    <row r="3" spans="1:20" ht="101" customHeight="1" thickBot="1">
      <c r="B3" s="39"/>
      <c r="C3" s="182" t="s">
        <v>1</v>
      </c>
      <c r="D3" s="183"/>
      <c r="E3" s="184"/>
      <c r="F3" s="42"/>
      <c r="H3" s="11"/>
      <c r="I3" s="12"/>
      <c r="J3" s="12"/>
      <c r="K3" s="12"/>
      <c r="L3" s="12"/>
      <c r="M3" s="13"/>
      <c r="N3" s="12"/>
      <c r="O3" s="12"/>
      <c r="P3" s="12"/>
      <c r="Q3" s="13"/>
      <c r="R3" s="12"/>
      <c r="S3" s="12"/>
      <c r="T3" s="13"/>
    </row>
    <row r="4" spans="1:20" ht="19">
      <c r="B4" s="39"/>
      <c r="C4" s="181" t="s">
        <v>387</v>
      </c>
      <c r="D4" s="181"/>
      <c r="E4" s="181"/>
      <c r="F4" s="42"/>
      <c r="H4" s="11"/>
      <c r="I4" s="12"/>
      <c r="J4" s="12"/>
      <c r="K4" s="12"/>
      <c r="L4" s="12"/>
      <c r="M4" s="13"/>
      <c r="N4" s="12"/>
      <c r="O4" s="12"/>
      <c r="P4" s="12"/>
      <c r="Q4" s="13"/>
      <c r="R4" s="12"/>
      <c r="S4" s="12"/>
      <c r="T4" s="13"/>
    </row>
    <row r="5" spans="1:20" ht="17" thickBot="1">
      <c r="B5" s="39"/>
      <c r="C5" s="51"/>
      <c r="D5" s="51"/>
      <c r="E5" s="51"/>
      <c r="F5" s="42"/>
      <c r="H5" s="11"/>
      <c r="I5" s="12"/>
      <c r="J5" s="12"/>
      <c r="K5" s="12"/>
      <c r="L5" s="12"/>
      <c r="M5" s="13"/>
      <c r="N5" s="12"/>
      <c r="O5" s="12"/>
      <c r="P5" s="12"/>
      <c r="Q5" s="13"/>
      <c r="R5" s="12"/>
      <c r="S5" s="12"/>
      <c r="T5" s="13"/>
    </row>
    <row r="6" spans="1:20" ht="21">
      <c r="B6" s="39"/>
      <c r="C6" s="28" t="s">
        <v>374</v>
      </c>
      <c r="D6" s="128"/>
      <c r="E6" s="29"/>
      <c r="F6" s="42"/>
      <c r="H6" s="11"/>
      <c r="I6" s="12"/>
      <c r="J6" s="12"/>
      <c r="K6" s="12"/>
      <c r="L6" s="12"/>
      <c r="M6" s="13"/>
      <c r="N6" s="12"/>
      <c r="O6" s="12"/>
      <c r="P6" s="12"/>
      <c r="Q6" s="13"/>
      <c r="R6" s="12"/>
      <c r="S6" s="12"/>
      <c r="T6" s="13"/>
    </row>
    <row r="7" spans="1:20" ht="115" customHeight="1">
      <c r="B7" s="39"/>
      <c r="C7" s="199" t="s">
        <v>498</v>
      </c>
      <c r="D7" s="200"/>
      <c r="E7" s="201"/>
      <c r="F7" s="42"/>
      <c r="H7" s="11"/>
      <c r="I7" s="12"/>
      <c r="J7" s="12"/>
      <c r="K7" s="12"/>
      <c r="L7" s="12"/>
      <c r="M7" s="13"/>
      <c r="N7" s="12"/>
      <c r="O7" s="12"/>
      <c r="P7" s="12"/>
      <c r="Q7" s="13"/>
      <c r="R7" s="12"/>
      <c r="S7" s="12"/>
      <c r="T7" s="13"/>
    </row>
    <row r="8" spans="1:20" ht="24" customHeight="1">
      <c r="B8" s="39"/>
      <c r="C8" s="202" t="s">
        <v>497</v>
      </c>
      <c r="D8" s="203"/>
      <c r="E8" s="204"/>
      <c r="F8" s="42"/>
      <c r="H8" s="11"/>
      <c r="I8" s="12"/>
      <c r="J8" s="12"/>
      <c r="K8" s="12"/>
      <c r="L8" s="12"/>
      <c r="M8" s="13"/>
      <c r="N8" s="12"/>
      <c r="O8" s="12"/>
      <c r="P8" s="12"/>
      <c r="Q8" s="13"/>
      <c r="R8" s="12"/>
      <c r="S8" s="12"/>
      <c r="T8" s="13"/>
    </row>
    <row r="9" spans="1:20" ht="21" customHeight="1">
      <c r="B9" s="39"/>
      <c r="C9" s="193" t="s">
        <v>418</v>
      </c>
      <c r="D9" s="194"/>
      <c r="E9" s="195"/>
      <c r="F9" s="42"/>
      <c r="H9" s="11"/>
      <c r="I9" s="12"/>
      <c r="J9" s="12"/>
      <c r="K9" s="12"/>
      <c r="L9" s="12"/>
      <c r="M9" s="13"/>
      <c r="N9" s="12"/>
      <c r="O9" s="12"/>
      <c r="P9" s="12"/>
      <c r="Q9" s="13"/>
      <c r="R9" s="12"/>
      <c r="S9" s="12"/>
      <c r="T9" s="13"/>
    </row>
    <row r="10" spans="1:20" ht="34" customHeight="1">
      <c r="B10" s="39"/>
      <c r="C10" s="193" t="s">
        <v>419</v>
      </c>
      <c r="D10" s="194"/>
      <c r="E10" s="195"/>
      <c r="F10" s="42"/>
      <c r="H10" s="11"/>
      <c r="I10" s="12"/>
      <c r="J10" s="12"/>
      <c r="K10" s="12"/>
      <c r="L10" s="12"/>
      <c r="M10" s="13"/>
      <c r="N10" s="12"/>
      <c r="O10" s="12"/>
      <c r="P10" s="12"/>
      <c r="Q10" s="13"/>
      <c r="R10" s="12"/>
      <c r="S10" s="12"/>
      <c r="T10" s="13"/>
    </row>
    <row r="11" spans="1:20" ht="34" customHeight="1">
      <c r="B11" s="39"/>
      <c r="C11" s="193" t="s">
        <v>420</v>
      </c>
      <c r="D11" s="194"/>
      <c r="E11" s="195"/>
      <c r="F11" s="42"/>
      <c r="H11" s="11"/>
      <c r="I11" s="12"/>
      <c r="J11" s="12"/>
      <c r="K11" s="12"/>
      <c r="L11" s="12"/>
      <c r="M11" s="13"/>
      <c r="N11" s="12"/>
      <c r="O11" s="12"/>
      <c r="P11" s="12"/>
      <c r="Q11" s="13"/>
      <c r="R11" s="12"/>
      <c r="S11" s="12"/>
      <c r="T11" s="13"/>
    </row>
    <row r="12" spans="1:20" ht="34" customHeight="1">
      <c r="B12" s="39"/>
      <c r="C12" s="193" t="s">
        <v>421</v>
      </c>
      <c r="D12" s="194"/>
      <c r="E12" s="195"/>
      <c r="F12" s="42"/>
      <c r="H12" s="11"/>
      <c r="I12" s="12"/>
      <c r="J12" s="12"/>
      <c r="K12" s="12"/>
      <c r="L12" s="12"/>
      <c r="M12" s="13"/>
      <c r="N12" s="12"/>
      <c r="O12" s="12"/>
      <c r="P12" s="12"/>
      <c r="Q12" s="13"/>
      <c r="R12" s="12"/>
      <c r="S12" s="12"/>
      <c r="T12" s="13"/>
    </row>
    <row r="13" spans="1:20" ht="41" customHeight="1" thickBot="1">
      <c r="B13" s="39"/>
      <c r="C13" s="205" t="s">
        <v>302</v>
      </c>
      <c r="D13" s="206"/>
      <c r="E13" s="207"/>
      <c r="F13" s="42"/>
      <c r="H13" s="11"/>
      <c r="I13" s="12"/>
      <c r="J13" s="12"/>
      <c r="K13" s="12"/>
      <c r="L13" s="12"/>
      <c r="M13" s="13"/>
      <c r="N13" s="12"/>
      <c r="O13" s="12"/>
      <c r="P13" s="12"/>
      <c r="Q13" s="13"/>
      <c r="R13" s="12"/>
      <c r="S13" s="12"/>
      <c r="T13" s="13"/>
    </row>
    <row r="14" spans="1:20" ht="73" customHeight="1" thickBot="1">
      <c r="B14" s="39"/>
      <c r="C14" s="196" t="s">
        <v>496</v>
      </c>
      <c r="D14" s="197"/>
      <c r="E14" s="198"/>
      <c r="F14" s="42"/>
      <c r="H14" s="11"/>
      <c r="I14" s="12"/>
      <c r="J14" s="12"/>
      <c r="K14" s="12"/>
      <c r="L14" s="12"/>
      <c r="M14" s="13"/>
      <c r="N14" s="12"/>
      <c r="O14" s="12"/>
      <c r="P14" s="12"/>
      <c r="Q14" s="13"/>
      <c r="R14" s="12"/>
      <c r="S14" s="12"/>
      <c r="T14" s="13"/>
    </row>
    <row r="15" spans="1:20">
      <c r="B15" s="39"/>
      <c r="C15" s="192" t="s">
        <v>373</v>
      </c>
      <c r="D15" s="192"/>
      <c r="E15" s="122"/>
      <c r="F15" s="42"/>
      <c r="H15" s="11"/>
      <c r="I15" s="12"/>
      <c r="J15" s="12"/>
      <c r="K15" s="12"/>
      <c r="L15" s="12"/>
      <c r="M15" s="13"/>
      <c r="N15" s="12"/>
      <c r="O15" s="12"/>
      <c r="P15" s="12"/>
      <c r="Q15" s="13"/>
      <c r="R15" s="12"/>
      <c r="S15" s="12"/>
      <c r="T15" s="13"/>
    </row>
    <row r="16" spans="1:20">
      <c r="B16" s="39"/>
      <c r="C16" s="192" t="s">
        <v>492</v>
      </c>
      <c r="D16" s="192"/>
      <c r="E16" s="121"/>
      <c r="F16" s="42"/>
      <c r="H16" s="11"/>
      <c r="I16" s="12"/>
      <c r="J16" s="12"/>
      <c r="K16" s="12"/>
      <c r="L16" s="12"/>
      <c r="M16" s="13"/>
      <c r="N16" s="12"/>
      <c r="O16" s="12"/>
      <c r="P16" s="12"/>
      <c r="Q16" s="13"/>
      <c r="R16" s="12"/>
      <c r="S16" s="12"/>
      <c r="T16" s="13"/>
    </row>
    <row r="17" spans="2:20">
      <c r="B17" s="39"/>
      <c r="C17" s="20"/>
      <c r="D17" s="20"/>
      <c r="E17" s="20"/>
      <c r="F17" s="42"/>
      <c r="H17" s="14"/>
      <c r="I17" s="15"/>
      <c r="J17" s="12"/>
      <c r="K17" s="12"/>
      <c r="L17" s="12"/>
      <c r="M17" s="13"/>
      <c r="N17" s="15"/>
      <c r="O17" s="12"/>
      <c r="P17" s="12"/>
      <c r="Q17" s="13"/>
      <c r="R17" s="15"/>
      <c r="S17" s="12"/>
      <c r="T17" s="13"/>
    </row>
    <row r="18" spans="2:20" ht="22" thickBot="1">
      <c r="B18" s="39"/>
      <c r="C18" s="33" t="s">
        <v>39</v>
      </c>
      <c r="D18" s="35"/>
      <c r="E18" s="126"/>
      <c r="F18" s="42"/>
      <c r="H18" s="14"/>
      <c r="I18" s="15"/>
      <c r="J18" s="12"/>
      <c r="K18" s="12"/>
      <c r="L18" s="12"/>
      <c r="M18" s="13"/>
      <c r="N18" s="15"/>
      <c r="O18" s="12"/>
      <c r="P18" s="12"/>
      <c r="Q18" s="13"/>
      <c r="R18" s="15"/>
      <c r="S18" s="12"/>
      <c r="T18" s="13"/>
    </row>
    <row r="19" spans="2:20">
      <c r="B19" s="39"/>
      <c r="C19" s="36" t="s">
        <v>53</v>
      </c>
      <c r="D19" s="32" t="s">
        <v>47</v>
      </c>
      <c r="E19" s="127"/>
      <c r="F19" s="42"/>
      <c r="H19" s="14"/>
      <c r="I19" s="15"/>
      <c r="J19" s="12"/>
      <c r="K19" s="12"/>
      <c r="L19" s="12"/>
      <c r="M19" s="13"/>
      <c r="N19" s="15"/>
      <c r="O19" s="12"/>
      <c r="P19" s="12"/>
      <c r="Q19" s="13"/>
      <c r="R19" s="15"/>
      <c r="S19" s="12"/>
      <c r="T19" s="13"/>
    </row>
    <row r="20" spans="2:20">
      <c r="B20" s="40" t="s">
        <v>49</v>
      </c>
      <c r="C20" s="30" t="s">
        <v>207</v>
      </c>
      <c r="D20" s="43"/>
      <c r="E20" s="131" t="s">
        <v>372</v>
      </c>
      <c r="F20" s="42"/>
      <c r="H20" s="14"/>
      <c r="I20" s="15"/>
      <c r="J20" s="12"/>
      <c r="K20" s="12"/>
      <c r="L20" s="12"/>
      <c r="M20" s="13"/>
      <c r="N20" s="15"/>
      <c r="O20" s="12"/>
      <c r="P20" s="12"/>
      <c r="Q20" s="13"/>
      <c r="R20" s="15"/>
      <c r="S20" s="12"/>
      <c r="T20" s="13"/>
    </row>
    <row r="21" spans="2:20">
      <c r="B21" s="40" t="s">
        <v>204</v>
      </c>
      <c r="C21" s="34" t="s">
        <v>422</v>
      </c>
      <c r="D21" s="44"/>
      <c r="E21" s="127"/>
      <c r="F21" s="42"/>
      <c r="H21" s="14"/>
      <c r="I21" s="15"/>
      <c r="J21" s="12"/>
      <c r="K21" s="12"/>
      <c r="L21" s="12"/>
      <c r="M21" s="13"/>
      <c r="N21" s="15"/>
      <c r="O21" s="12"/>
      <c r="P21" s="12"/>
      <c r="Q21" s="13"/>
      <c r="R21" s="15"/>
      <c r="S21" s="12"/>
      <c r="T21" s="13"/>
    </row>
    <row r="22" spans="2:20">
      <c r="B22" s="40" t="s">
        <v>50</v>
      </c>
      <c r="C22" s="30" t="s">
        <v>48</v>
      </c>
      <c r="D22" s="43"/>
      <c r="E22" s="127"/>
      <c r="F22" s="42"/>
      <c r="H22" s="14"/>
      <c r="I22" s="15"/>
      <c r="J22" s="12"/>
      <c r="K22" s="12"/>
      <c r="L22" s="12"/>
      <c r="M22" s="13"/>
      <c r="N22" s="15"/>
      <c r="O22" s="12"/>
      <c r="P22" s="12"/>
      <c r="Q22" s="13"/>
      <c r="R22" s="15"/>
      <c r="S22" s="12"/>
      <c r="T22" s="13"/>
    </row>
    <row r="23" spans="2:20">
      <c r="B23" s="40" t="s">
        <v>279</v>
      </c>
      <c r="C23" s="34" t="s">
        <v>277</v>
      </c>
      <c r="D23" s="130"/>
      <c r="E23" s="131" t="s">
        <v>372</v>
      </c>
      <c r="F23" s="42"/>
      <c r="H23" s="14"/>
      <c r="I23" s="15"/>
      <c r="J23" s="12"/>
      <c r="K23" s="12"/>
      <c r="L23" s="12"/>
      <c r="M23" s="13"/>
      <c r="N23" s="15"/>
      <c r="O23" s="12"/>
      <c r="P23" s="12"/>
      <c r="Q23" s="13"/>
      <c r="R23" s="15"/>
      <c r="S23" s="12"/>
      <c r="T23" s="13"/>
    </row>
    <row r="24" spans="2:20" ht="17" thickBot="1">
      <c r="B24" s="40" t="s">
        <v>51</v>
      </c>
      <c r="C24" s="113" t="s">
        <v>303</v>
      </c>
      <c r="D24" s="114" t="s">
        <v>55</v>
      </c>
      <c r="E24" s="131" t="s">
        <v>371</v>
      </c>
      <c r="F24" s="42"/>
      <c r="H24" s="14"/>
      <c r="I24" s="15"/>
      <c r="J24" s="12"/>
      <c r="K24" s="12"/>
      <c r="L24" s="12"/>
      <c r="M24" s="13"/>
      <c r="N24" s="15"/>
      <c r="O24" s="12"/>
      <c r="P24" s="12"/>
      <c r="Q24" s="13"/>
      <c r="R24" s="15"/>
      <c r="S24" s="12"/>
      <c r="T24" s="13"/>
    </row>
    <row r="25" spans="2:20">
      <c r="B25" s="39"/>
      <c r="C25" s="5"/>
      <c r="D25" s="51"/>
      <c r="E25" s="51"/>
      <c r="F25" s="42"/>
      <c r="H25" s="14" t="s">
        <v>14</v>
      </c>
      <c r="I25" s="15"/>
      <c r="J25" s="12"/>
      <c r="K25" s="12"/>
      <c r="L25" s="12"/>
      <c r="M25" s="13"/>
      <c r="N25" s="15" t="s">
        <v>15</v>
      </c>
      <c r="O25" s="12"/>
      <c r="P25" s="12"/>
      <c r="Q25" s="13"/>
      <c r="R25" s="15" t="s">
        <v>20</v>
      </c>
      <c r="S25" s="12"/>
      <c r="T25" s="13"/>
    </row>
    <row r="26" spans="2:20">
      <c r="B26" s="101">
        <v>0</v>
      </c>
      <c r="C26" s="31" t="s">
        <v>54</v>
      </c>
      <c r="D26" s="32" t="s">
        <v>33</v>
      </c>
      <c r="E26" s="109" t="s">
        <v>369</v>
      </c>
      <c r="F26" s="42"/>
      <c r="H26" s="8" t="s">
        <v>8</v>
      </c>
      <c r="I26" s="9" t="s">
        <v>9</v>
      </c>
      <c r="J26" s="9" t="s">
        <v>10</v>
      </c>
      <c r="K26" s="9" t="s">
        <v>11</v>
      </c>
      <c r="L26" s="9" t="s">
        <v>12</v>
      </c>
      <c r="M26" s="10" t="s">
        <v>13</v>
      </c>
      <c r="N26" s="9" t="s">
        <v>16</v>
      </c>
      <c r="O26" s="9" t="s">
        <v>17</v>
      </c>
      <c r="P26" s="9" t="s">
        <v>18</v>
      </c>
      <c r="Q26" s="10" t="s">
        <v>19</v>
      </c>
      <c r="R26" s="9" t="s">
        <v>21</v>
      </c>
      <c r="S26" s="9" t="s">
        <v>22</v>
      </c>
      <c r="T26" s="10" t="s">
        <v>23</v>
      </c>
    </row>
    <row r="27" spans="2:20" ht="64">
      <c r="B27" s="60">
        <f>B26+1</f>
        <v>1</v>
      </c>
      <c r="C27" s="139" t="s">
        <v>246</v>
      </c>
      <c r="D27" s="140"/>
      <c r="E27" s="140"/>
      <c r="F27" s="42"/>
      <c r="L27" s="9">
        <v>1</v>
      </c>
      <c r="P27" s="9">
        <v>1</v>
      </c>
      <c r="R27" s="9">
        <v>1</v>
      </c>
    </row>
    <row r="28" spans="2:20" ht="112">
      <c r="B28" s="60">
        <f t="shared" ref="B28:B40" si="0">B27+1</f>
        <v>2</v>
      </c>
      <c r="C28" s="57" t="s">
        <v>434</v>
      </c>
      <c r="D28" s="83"/>
      <c r="E28" s="83"/>
      <c r="F28" s="42"/>
      <c r="L28" s="9">
        <v>1</v>
      </c>
      <c r="N28" s="9">
        <v>1</v>
      </c>
      <c r="R28" s="9">
        <v>1</v>
      </c>
    </row>
    <row r="29" spans="2:20" ht="48">
      <c r="B29" s="60">
        <f t="shared" si="0"/>
        <v>3</v>
      </c>
      <c r="C29" s="56" t="s">
        <v>435</v>
      </c>
      <c r="D29" s="82"/>
      <c r="E29" s="82"/>
      <c r="F29" s="42"/>
      <c r="M29" s="10">
        <v>1</v>
      </c>
      <c r="N29" s="9">
        <v>1</v>
      </c>
      <c r="R29" s="9">
        <v>1</v>
      </c>
      <c r="S29" s="9">
        <v>1</v>
      </c>
    </row>
    <row r="30" spans="2:20" ht="112">
      <c r="B30" s="60">
        <f t="shared" si="0"/>
        <v>4</v>
      </c>
      <c r="C30" s="57" t="s">
        <v>501</v>
      </c>
      <c r="D30" s="83"/>
      <c r="E30" s="83"/>
      <c r="F30" s="42"/>
      <c r="H30" s="8">
        <v>1</v>
      </c>
      <c r="N30" s="9">
        <v>1</v>
      </c>
      <c r="S30" s="9">
        <v>1</v>
      </c>
    </row>
    <row r="31" spans="2:20" ht="176">
      <c r="B31" s="60">
        <f t="shared" si="0"/>
        <v>5</v>
      </c>
      <c r="C31" s="56" t="s">
        <v>503</v>
      </c>
      <c r="D31" s="82"/>
      <c r="E31" s="82"/>
      <c r="F31" s="42"/>
      <c r="H31" s="8">
        <v>1</v>
      </c>
      <c r="J31" s="9">
        <v>1</v>
      </c>
      <c r="N31" s="9">
        <v>1</v>
      </c>
      <c r="P31" s="9">
        <v>1</v>
      </c>
      <c r="S31" s="9">
        <v>1</v>
      </c>
      <c r="T31" s="10">
        <v>1</v>
      </c>
    </row>
    <row r="32" spans="2:20" ht="96">
      <c r="B32" s="60">
        <f t="shared" si="0"/>
        <v>6</v>
      </c>
      <c r="C32" s="57" t="s">
        <v>436</v>
      </c>
      <c r="D32" s="83"/>
      <c r="E32" s="83"/>
      <c r="F32" s="42"/>
      <c r="L32" s="9">
        <v>1</v>
      </c>
      <c r="N32" s="9">
        <v>1</v>
      </c>
      <c r="R32" s="9">
        <v>1</v>
      </c>
    </row>
    <row r="33" spans="2:20" ht="112">
      <c r="B33" s="60">
        <f t="shared" si="0"/>
        <v>7</v>
      </c>
      <c r="C33" s="56" t="s">
        <v>442</v>
      </c>
      <c r="D33" s="82"/>
      <c r="E33" s="82"/>
      <c r="F33" s="42"/>
      <c r="J33" s="9">
        <v>1</v>
      </c>
      <c r="O33" s="9">
        <v>1</v>
      </c>
      <c r="T33" s="10">
        <v>1</v>
      </c>
    </row>
    <row r="34" spans="2:20" ht="64">
      <c r="B34" s="60">
        <f t="shared" si="0"/>
        <v>8</v>
      </c>
      <c r="C34" s="57" t="s">
        <v>502</v>
      </c>
      <c r="D34" s="83"/>
      <c r="E34" s="83"/>
      <c r="F34" s="42"/>
      <c r="J34" s="9">
        <v>1</v>
      </c>
      <c r="N34" s="9">
        <v>1</v>
      </c>
      <c r="R34" s="9">
        <v>1</v>
      </c>
      <c r="S34" s="9">
        <v>1</v>
      </c>
    </row>
    <row r="35" spans="2:20" ht="304">
      <c r="B35" s="60">
        <f t="shared" si="0"/>
        <v>9</v>
      </c>
      <c r="C35" s="56" t="s">
        <v>500</v>
      </c>
      <c r="D35" s="82"/>
      <c r="E35" s="82"/>
      <c r="F35" s="42"/>
      <c r="H35" s="8">
        <v>1</v>
      </c>
      <c r="K35" s="9">
        <v>1</v>
      </c>
      <c r="N35" s="9">
        <v>1</v>
      </c>
      <c r="P35" s="9">
        <v>1</v>
      </c>
      <c r="R35" s="9">
        <v>1</v>
      </c>
    </row>
    <row r="36" spans="2:20" ht="64">
      <c r="B36" s="60">
        <f t="shared" si="0"/>
        <v>10</v>
      </c>
      <c r="C36" s="57" t="s">
        <v>504</v>
      </c>
      <c r="D36" s="83"/>
      <c r="E36" s="83"/>
      <c r="F36" s="42"/>
      <c r="H36" s="8">
        <v>1</v>
      </c>
      <c r="P36" s="9">
        <v>1</v>
      </c>
      <c r="S36" s="9">
        <v>1</v>
      </c>
    </row>
    <row r="37" spans="2:20" ht="176">
      <c r="B37" s="60">
        <f t="shared" si="0"/>
        <v>11</v>
      </c>
      <c r="C37" s="56" t="s">
        <v>437</v>
      </c>
      <c r="D37" s="82"/>
      <c r="E37" s="82"/>
      <c r="F37" s="42"/>
      <c r="H37" s="8">
        <v>1</v>
      </c>
      <c r="N37" s="9">
        <v>1</v>
      </c>
      <c r="O37" s="9">
        <v>1</v>
      </c>
      <c r="S37" s="9">
        <v>1</v>
      </c>
    </row>
    <row r="38" spans="2:20" ht="128">
      <c r="B38" s="60">
        <f t="shared" si="0"/>
        <v>12</v>
      </c>
      <c r="C38" s="57" t="s">
        <v>505</v>
      </c>
      <c r="D38" s="83"/>
      <c r="E38" s="83"/>
      <c r="F38" s="42"/>
      <c r="H38" s="8">
        <v>1</v>
      </c>
      <c r="J38" s="9">
        <v>1</v>
      </c>
      <c r="P38" s="9">
        <v>1</v>
      </c>
      <c r="Q38" s="10">
        <v>1</v>
      </c>
      <c r="T38" s="10">
        <v>1</v>
      </c>
    </row>
    <row r="39" spans="2:20" ht="32">
      <c r="B39" s="60">
        <f t="shared" si="0"/>
        <v>13</v>
      </c>
      <c r="C39" s="56" t="s">
        <v>247</v>
      </c>
      <c r="D39" s="82"/>
      <c r="E39" s="82"/>
      <c r="F39" s="42"/>
      <c r="H39" s="8">
        <v>1</v>
      </c>
      <c r="I39" s="9">
        <v>1</v>
      </c>
      <c r="N39" s="9">
        <v>1</v>
      </c>
      <c r="P39" s="9">
        <v>1</v>
      </c>
      <c r="R39" s="9">
        <v>1</v>
      </c>
      <c r="S39" s="9">
        <v>1</v>
      </c>
      <c r="T39" s="10">
        <v>1</v>
      </c>
    </row>
    <row r="40" spans="2:20" ht="33" thickBot="1">
      <c r="B40" s="60">
        <f t="shared" si="0"/>
        <v>14</v>
      </c>
      <c r="C40" s="58" t="s">
        <v>248</v>
      </c>
      <c r="D40" s="84"/>
      <c r="E40" s="84"/>
      <c r="F40" s="42"/>
      <c r="I40" s="9">
        <v>1</v>
      </c>
      <c r="K40" s="9">
        <v>1</v>
      </c>
      <c r="L40" s="9">
        <v>1</v>
      </c>
      <c r="P40" s="9">
        <v>1</v>
      </c>
      <c r="Q40" s="10">
        <v>1</v>
      </c>
      <c r="R40" s="9">
        <v>1</v>
      </c>
    </row>
    <row r="41" spans="2:20" ht="27" customHeight="1" thickBot="1">
      <c r="B41" s="101">
        <f>B40</f>
        <v>14</v>
      </c>
      <c r="C41" s="190" t="s">
        <v>388</v>
      </c>
      <c r="D41" s="190"/>
      <c r="E41" s="190"/>
      <c r="F41" s="42"/>
    </row>
    <row r="42" spans="2:20" ht="112" hidden="1" outlineLevel="2">
      <c r="B42" s="60">
        <f>B41+1</f>
        <v>15</v>
      </c>
      <c r="C42" s="141" t="s">
        <v>454</v>
      </c>
      <c r="D42" s="142"/>
      <c r="E42" s="142"/>
      <c r="F42" s="42"/>
      <c r="H42" s="8">
        <v>1</v>
      </c>
      <c r="L42" s="9">
        <v>1</v>
      </c>
      <c r="Q42" s="10">
        <v>1</v>
      </c>
      <c r="T42" s="10">
        <v>1</v>
      </c>
    </row>
    <row r="43" spans="2:20" ht="96" hidden="1" outlineLevel="2">
      <c r="B43" s="60">
        <f t="shared" ref="B43:B52" si="1">B42+1</f>
        <v>16</v>
      </c>
      <c r="C43" s="57" t="s">
        <v>210</v>
      </c>
      <c r="D43" s="83"/>
      <c r="E43" s="83"/>
      <c r="F43" s="42"/>
      <c r="H43" s="8">
        <v>1</v>
      </c>
      <c r="L43" s="9">
        <v>1</v>
      </c>
      <c r="M43" s="10">
        <v>1</v>
      </c>
      <c r="Q43" s="10">
        <v>1</v>
      </c>
      <c r="S43" s="9">
        <v>1</v>
      </c>
      <c r="T43" s="10">
        <v>1</v>
      </c>
    </row>
    <row r="44" spans="2:20" ht="80" hidden="1" outlineLevel="2">
      <c r="B44" s="60">
        <f t="shared" si="1"/>
        <v>17</v>
      </c>
      <c r="C44" s="56" t="s">
        <v>443</v>
      </c>
      <c r="D44" s="82"/>
      <c r="E44" s="82"/>
      <c r="F44" s="42"/>
      <c r="H44" s="8">
        <v>1</v>
      </c>
      <c r="J44" s="9">
        <v>1</v>
      </c>
      <c r="M44" s="10">
        <v>1</v>
      </c>
      <c r="O44" s="9">
        <v>1</v>
      </c>
      <c r="P44" s="9">
        <v>1</v>
      </c>
      <c r="Q44" s="10">
        <v>1</v>
      </c>
      <c r="R44" s="9">
        <v>1</v>
      </c>
      <c r="S44" s="9">
        <v>1</v>
      </c>
    </row>
    <row r="45" spans="2:20" ht="48" hidden="1" outlineLevel="2">
      <c r="B45" s="60">
        <f t="shared" si="1"/>
        <v>18</v>
      </c>
      <c r="C45" s="57" t="s">
        <v>211</v>
      </c>
      <c r="D45" s="83"/>
      <c r="E45" s="83"/>
      <c r="F45" s="42"/>
      <c r="M45" s="10">
        <v>1</v>
      </c>
      <c r="Q45" s="10">
        <v>1</v>
      </c>
      <c r="S45" s="9">
        <v>1</v>
      </c>
    </row>
    <row r="46" spans="2:20" ht="48" hidden="1" outlineLevel="2">
      <c r="B46" s="60">
        <f t="shared" si="1"/>
        <v>19</v>
      </c>
      <c r="C46" s="56" t="s">
        <v>222</v>
      </c>
      <c r="D46" s="82"/>
      <c r="E46" s="82"/>
      <c r="F46" s="42"/>
      <c r="L46" s="9">
        <v>1</v>
      </c>
      <c r="N46" s="9">
        <v>1</v>
      </c>
      <c r="T46" s="10">
        <v>1</v>
      </c>
    </row>
    <row r="47" spans="2:20" ht="96" hidden="1" outlineLevel="2">
      <c r="B47" s="60">
        <f t="shared" si="1"/>
        <v>20</v>
      </c>
      <c r="C47" s="57" t="s">
        <v>438</v>
      </c>
      <c r="D47" s="83"/>
      <c r="E47" s="83"/>
      <c r="F47" s="42"/>
      <c r="L47" s="9">
        <v>1</v>
      </c>
      <c r="N47" s="9">
        <v>1</v>
      </c>
      <c r="T47" s="10">
        <v>1</v>
      </c>
    </row>
    <row r="48" spans="2:20" ht="32" hidden="1" outlineLevel="2">
      <c r="B48" s="60">
        <f t="shared" si="1"/>
        <v>21</v>
      </c>
      <c r="C48" s="56" t="s">
        <v>414</v>
      </c>
      <c r="D48" s="82"/>
      <c r="E48" s="82"/>
      <c r="F48" s="42"/>
      <c r="H48" s="8">
        <v>1</v>
      </c>
      <c r="O48" s="9">
        <v>1</v>
      </c>
      <c r="R48" s="9">
        <v>1</v>
      </c>
    </row>
    <row r="49" spans="2:20" ht="32" hidden="1" outlineLevel="2">
      <c r="B49" s="60">
        <f t="shared" si="1"/>
        <v>22</v>
      </c>
      <c r="C49" s="57" t="s">
        <v>439</v>
      </c>
      <c r="D49" s="83"/>
      <c r="E49" s="83"/>
      <c r="F49" s="42"/>
      <c r="K49" s="9">
        <v>1</v>
      </c>
      <c r="N49" s="9">
        <v>1</v>
      </c>
      <c r="S49" s="9">
        <v>1</v>
      </c>
      <c r="T49" s="10">
        <v>1</v>
      </c>
    </row>
    <row r="50" spans="2:20" ht="176" hidden="1" outlineLevel="2">
      <c r="B50" s="60">
        <f t="shared" si="1"/>
        <v>23</v>
      </c>
      <c r="C50" s="56" t="s">
        <v>444</v>
      </c>
      <c r="D50" s="82"/>
      <c r="E50" s="82"/>
      <c r="F50" s="42"/>
      <c r="H50" s="8">
        <v>1</v>
      </c>
      <c r="Q50" s="10">
        <v>1</v>
      </c>
      <c r="T50" s="10">
        <v>1</v>
      </c>
    </row>
    <row r="51" spans="2:20" ht="48" hidden="1" outlineLevel="2">
      <c r="B51" s="60">
        <f t="shared" si="1"/>
        <v>24</v>
      </c>
      <c r="C51" s="57" t="s">
        <v>440</v>
      </c>
      <c r="D51" s="83"/>
      <c r="E51" s="83"/>
      <c r="F51" s="42"/>
      <c r="K51" s="9">
        <v>1</v>
      </c>
      <c r="O51" s="9">
        <v>1</v>
      </c>
      <c r="S51" s="9">
        <v>1</v>
      </c>
    </row>
    <row r="52" spans="2:20" ht="65" hidden="1" outlineLevel="2" thickBot="1">
      <c r="B52" s="60">
        <f t="shared" si="1"/>
        <v>25</v>
      </c>
      <c r="C52" s="143" t="s">
        <v>212</v>
      </c>
      <c r="D52" s="144"/>
      <c r="E52" s="144"/>
      <c r="F52" s="42"/>
      <c r="I52" s="9">
        <v>1</v>
      </c>
      <c r="O52" s="9">
        <v>1</v>
      </c>
      <c r="P52" s="9">
        <v>1</v>
      </c>
      <c r="Q52" s="10">
        <v>1</v>
      </c>
      <c r="R52" s="9">
        <v>1</v>
      </c>
      <c r="S52" s="9">
        <v>1</v>
      </c>
      <c r="T52" s="10">
        <v>1</v>
      </c>
    </row>
    <row r="53" spans="2:20" ht="21" collapsed="1">
      <c r="B53" s="61"/>
      <c r="C53" s="54"/>
      <c r="D53" s="55"/>
      <c r="E53" s="55"/>
      <c r="F53" s="42"/>
    </row>
    <row r="54" spans="2:20">
      <c r="B54" s="101">
        <f>B52</f>
        <v>25</v>
      </c>
      <c r="C54" s="31" t="s">
        <v>213</v>
      </c>
      <c r="D54" s="32" t="s">
        <v>33</v>
      </c>
      <c r="E54" s="109" t="s">
        <v>369</v>
      </c>
      <c r="F54" s="42"/>
      <c r="H54" s="8" t="s">
        <v>8</v>
      </c>
      <c r="I54" s="9" t="s">
        <v>9</v>
      </c>
      <c r="J54" s="9" t="s">
        <v>10</v>
      </c>
      <c r="K54" s="9" t="s">
        <v>11</v>
      </c>
      <c r="L54" s="9" t="s">
        <v>12</v>
      </c>
      <c r="M54" s="10" t="s">
        <v>13</v>
      </c>
      <c r="N54" s="9" t="s">
        <v>16</v>
      </c>
      <c r="O54" s="9" t="s">
        <v>17</v>
      </c>
      <c r="P54" s="9" t="s">
        <v>18</v>
      </c>
      <c r="Q54" s="10" t="s">
        <v>19</v>
      </c>
      <c r="R54" s="9" t="s">
        <v>21</v>
      </c>
      <c r="S54" s="9" t="s">
        <v>22</v>
      </c>
      <c r="T54" s="10" t="s">
        <v>23</v>
      </c>
    </row>
    <row r="55" spans="2:20" ht="96">
      <c r="B55" s="60">
        <f>B54+1</f>
        <v>26</v>
      </c>
      <c r="C55" s="56" t="s">
        <v>249</v>
      </c>
      <c r="D55" s="82"/>
      <c r="E55" s="82"/>
      <c r="F55" s="42"/>
      <c r="H55" s="8">
        <v>1</v>
      </c>
      <c r="I55" s="9">
        <v>1</v>
      </c>
      <c r="N55" s="9">
        <v>1</v>
      </c>
      <c r="R55" s="9">
        <v>1</v>
      </c>
    </row>
    <row r="56" spans="2:20" ht="176">
      <c r="B56" s="60">
        <f t="shared" ref="B56:B70" si="2">B55+1</f>
        <v>27</v>
      </c>
      <c r="C56" s="57" t="s">
        <v>250</v>
      </c>
      <c r="D56" s="83"/>
      <c r="E56" s="83"/>
      <c r="F56" s="42"/>
      <c r="H56" s="8">
        <v>1</v>
      </c>
      <c r="I56" s="9">
        <v>1</v>
      </c>
      <c r="P56" s="9">
        <v>1</v>
      </c>
      <c r="T56" s="10">
        <v>1</v>
      </c>
    </row>
    <row r="57" spans="2:20" ht="96">
      <c r="B57" s="60">
        <f t="shared" si="2"/>
        <v>28</v>
      </c>
      <c r="C57" s="56" t="s">
        <v>423</v>
      </c>
      <c r="D57" s="82"/>
      <c r="E57" s="82"/>
      <c r="F57" s="42"/>
      <c r="H57" s="8">
        <v>1</v>
      </c>
      <c r="I57" s="9">
        <v>1</v>
      </c>
      <c r="P57" s="9">
        <v>1</v>
      </c>
      <c r="R57" s="9">
        <v>1</v>
      </c>
      <c r="T57" s="10">
        <v>1</v>
      </c>
    </row>
    <row r="58" spans="2:20" ht="112">
      <c r="B58" s="60">
        <f t="shared" si="2"/>
        <v>29</v>
      </c>
      <c r="C58" s="57" t="s">
        <v>424</v>
      </c>
      <c r="D58" s="83"/>
      <c r="E58" s="83"/>
      <c r="F58" s="42"/>
      <c r="H58" s="8">
        <v>1</v>
      </c>
      <c r="I58" s="9">
        <v>1</v>
      </c>
      <c r="P58" s="9">
        <v>1</v>
      </c>
      <c r="R58" s="9">
        <v>1</v>
      </c>
      <c r="S58" s="9">
        <v>1</v>
      </c>
      <c r="T58" s="10">
        <v>1</v>
      </c>
    </row>
    <row r="59" spans="2:20" ht="112">
      <c r="B59" s="60">
        <f t="shared" si="2"/>
        <v>30</v>
      </c>
      <c r="C59" s="56" t="s">
        <v>251</v>
      </c>
      <c r="D59" s="82"/>
      <c r="E59" s="82"/>
      <c r="F59" s="42"/>
      <c r="L59" s="9">
        <v>1</v>
      </c>
      <c r="N59" s="9">
        <v>1</v>
      </c>
      <c r="R59" s="9">
        <v>1</v>
      </c>
    </row>
    <row r="60" spans="2:20" ht="32">
      <c r="B60" s="60">
        <f t="shared" si="2"/>
        <v>31</v>
      </c>
      <c r="C60" s="57" t="s">
        <v>252</v>
      </c>
      <c r="D60" s="83"/>
      <c r="E60" s="83"/>
      <c r="F60" s="42"/>
      <c r="K60" s="9">
        <v>1</v>
      </c>
      <c r="L60" s="9">
        <v>1</v>
      </c>
      <c r="O60" s="9">
        <v>1</v>
      </c>
      <c r="T60" s="10">
        <v>1</v>
      </c>
    </row>
    <row r="61" spans="2:20" ht="32">
      <c r="B61" s="60">
        <f t="shared" si="2"/>
        <v>32</v>
      </c>
      <c r="C61" s="56" t="s">
        <v>253</v>
      </c>
      <c r="D61" s="82"/>
      <c r="E61" s="82"/>
      <c r="F61" s="42"/>
      <c r="L61" s="9">
        <v>1</v>
      </c>
      <c r="O61" s="9">
        <v>1</v>
      </c>
      <c r="S61" s="9">
        <v>1</v>
      </c>
    </row>
    <row r="62" spans="2:20" ht="81" thickBot="1">
      <c r="B62" s="60">
        <f t="shared" si="2"/>
        <v>33</v>
      </c>
      <c r="C62" s="58" t="s">
        <v>425</v>
      </c>
      <c r="D62" s="84"/>
      <c r="E62" s="84"/>
      <c r="F62" s="42"/>
      <c r="M62" s="10">
        <v>1</v>
      </c>
      <c r="O62" s="9">
        <v>1</v>
      </c>
      <c r="P62" s="9">
        <v>1</v>
      </c>
      <c r="R62" s="9">
        <v>1</v>
      </c>
    </row>
    <row r="63" spans="2:20" ht="27" customHeight="1" thickBot="1">
      <c r="B63" s="101">
        <f>B62</f>
        <v>33</v>
      </c>
      <c r="C63" s="190" t="s">
        <v>388</v>
      </c>
      <c r="D63" s="190"/>
      <c r="E63" s="190"/>
      <c r="F63" s="42"/>
    </row>
    <row r="64" spans="2:20" ht="80" hidden="1" outlineLevel="1">
      <c r="B64" s="60">
        <f t="shared" si="2"/>
        <v>34</v>
      </c>
      <c r="C64" s="141" t="s">
        <v>214</v>
      </c>
      <c r="D64" s="142"/>
      <c r="E64" s="142"/>
      <c r="F64" s="42"/>
      <c r="K64" s="9">
        <v>1</v>
      </c>
      <c r="L64" s="9">
        <v>1</v>
      </c>
      <c r="O64" s="9">
        <v>1</v>
      </c>
      <c r="R64" s="9">
        <v>1</v>
      </c>
    </row>
    <row r="65" spans="2:20" ht="80" hidden="1" outlineLevel="1">
      <c r="B65" s="60">
        <f t="shared" si="2"/>
        <v>35</v>
      </c>
      <c r="C65" s="57" t="s">
        <v>441</v>
      </c>
      <c r="D65" s="83"/>
      <c r="E65" s="83"/>
      <c r="F65" s="42"/>
      <c r="L65" s="9">
        <v>1</v>
      </c>
      <c r="N65" s="9">
        <v>1</v>
      </c>
      <c r="R65" s="9">
        <v>1</v>
      </c>
    </row>
    <row r="66" spans="2:20" ht="64" hidden="1" outlineLevel="1">
      <c r="B66" s="60">
        <f t="shared" si="2"/>
        <v>36</v>
      </c>
      <c r="C66" s="56" t="s">
        <v>215</v>
      </c>
      <c r="D66" s="82"/>
      <c r="E66" s="82"/>
      <c r="F66" s="42"/>
      <c r="L66" s="9">
        <v>1</v>
      </c>
      <c r="N66" s="9">
        <v>1</v>
      </c>
      <c r="R66" s="9">
        <v>1</v>
      </c>
    </row>
    <row r="67" spans="2:20" ht="32" hidden="1" outlineLevel="1">
      <c r="B67" s="60">
        <f t="shared" si="2"/>
        <v>37</v>
      </c>
      <c r="C67" s="57" t="s">
        <v>216</v>
      </c>
      <c r="D67" s="83"/>
      <c r="E67" s="83"/>
      <c r="F67" s="42"/>
      <c r="H67" s="8">
        <v>1</v>
      </c>
      <c r="L67" s="9">
        <v>1</v>
      </c>
      <c r="O67" s="9">
        <v>1</v>
      </c>
      <c r="R67" s="9">
        <v>1</v>
      </c>
    </row>
    <row r="68" spans="2:20" ht="32" hidden="1" outlineLevel="1">
      <c r="B68" s="60">
        <f t="shared" si="2"/>
        <v>38</v>
      </c>
      <c r="C68" s="56" t="s">
        <v>217</v>
      </c>
      <c r="D68" s="82"/>
      <c r="E68" s="82"/>
      <c r="F68" s="42"/>
      <c r="I68" s="9">
        <v>1</v>
      </c>
      <c r="J68" s="9">
        <v>1</v>
      </c>
      <c r="L68" s="9">
        <v>1</v>
      </c>
      <c r="N68" s="9">
        <v>1</v>
      </c>
      <c r="P68" s="9">
        <v>1</v>
      </c>
      <c r="T68" s="10">
        <v>1</v>
      </c>
    </row>
    <row r="69" spans="2:20" ht="32" hidden="1" outlineLevel="1">
      <c r="B69" s="60">
        <f t="shared" si="2"/>
        <v>39</v>
      </c>
      <c r="C69" s="57" t="s">
        <v>218</v>
      </c>
      <c r="D69" s="83"/>
      <c r="E69" s="83"/>
      <c r="F69" s="42"/>
      <c r="I69" s="9">
        <v>1</v>
      </c>
      <c r="N69" s="9">
        <v>1</v>
      </c>
      <c r="R69" s="9">
        <v>1</v>
      </c>
    </row>
    <row r="70" spans="2:20" ht="81" hidden="1" outlineLevel="1" thickBot="1">
      <c r="B70" s="60">
        <f t="shared" si="2"/>
        <v>40</v>
      </c>
      <c r="C70" s="143" t="s">
        <v>221</v>
      </c>
      <c r="D70" s="144"/>
      <c r="E70" s="144"/>
      <c r="F70" s="42"/>
      <c r="M70" s="10">
        <v>1</v>
      </c>
      <c r="N70" s="9">
        <v>1</v>
      </c>
      <c r="O70" s="9">
        <v>1</v>
      </c>
      <c r="S70" s="9">
        <v>1</v>
      </c>
    </row>
    <row r="71" spans="2:20" ht="21" collapsed="1">
      <c r="B71" s="61"/>
      <c r="C71" s="54"/>
      <c r="D71" s="55"/>
      <c r="E71" s="55"/>
      <c r="F71" s="42"/>
    </row>
    <row r="72" spans="2:20">
      <c r="B72" s="101">
        <f>B70</f>
        <v>40</v>
      </c>
      <c r="C72" s="31" t="s">
        <v>219</v>
      </c>
      <c r="D72" s="32" t="s">
        <v>33</v>
      </c>
      <c r="E72" s="109" t="s">
        <v>369</v>
      </c>
      <c r="F72" s="42"/>
      <c r="H72" s="8" t="s">
        <v>8</v>
      </c>
      <c r="I72" s="9" t="s">
        <v>9</v>
      </c>
      <c r="J72" s="9" t="s">
        <v>10</v>
      </c>
      <c r="K72" s="9" t="s">
        <v>11</v>
      </c>
      <c r="L72" s="9" t="s">
        <v>12</v>
      </c>
      <c r="M72" s="10" t="s">
        <v>13</v>
      </c>
      <c r="N72" s="9" t="s">
        <v>16</v>
      </c>
      <c r="O72" s="9" t="s">
        <v>17</v>
      </c>
      <c r="P72" s="9" t="s">
        <v>18</v>
      </c>
      <c r="Q72" s="10" t="s">
        <v>19</v>
      </c>
      <c r="R72" s="9" t="s">
        <v>21</v>
      </c>
      <c r="S72" s="9" t="s">
        <v>22</v>
      </c>
      <c r="T72" s="10" t="s">
        <v>23</v>
      </c>
    </row>
    <row r="73" spans="2:20" ht="192">
      <c r="B73" s="60">
        <f>B72+1</f>
        <v>41</v>
      </c>
      <c r="C73" s="56" t="s">
        <v>445</v>
      </c>
      <c r="D73" s="82"/>
      <c r="E73" s="82"/>
      <c r="F73" s="42"/>
      <c r="H73" s="8">
        <v>1</v>
      </c>
      <c r="K73" s="9">
        <v>1</v>
      </c>
      <c r="N73" s="9">
        <v>1</v>
      </c>
      <c r="O73" s="9">
        <v>1</v>
      </c>
      <c r="R73" s="9">
        <v>1</v>
      </c>
    </row>
    <row r="74" spans="2:20" ht="128">
      <c r="B74" s="60">
        <f t="shared" ref="B74:B82" si="3">B73+1</f>
        <v>42</v>
      </c>
      <c r="C74" s="57" t="s">
        <v>446</v>
      </c>
      <c r="D74" s="83"/>
      <c r="E74" s="83"/>
      <c r="F74" s="42"/>
      <c r="K74" s="9">
        <v>1</v>
      </c>
      <c r="L74" s="9">
        <v>1</v>
      </c>
      <c r="N74" s="9">
        <v>1</v>
      </c>
      <c r="O74" s="9">
        <v>1</v>
      </c>
      <c r="R74" s="9">
        <v>1</v>
      </c>
    </row>
    <row r="75" spans="2:20" ht="96">
      <c r="B75" s="60">
        <f t="shared" si="3"/>
        <v>43</v>
      </c>
      <c r="C75" s="56" t="s">
        <v>254</v>
      </c>
      <c r="D75" s="82"/>
      <c r="E75" s="82"/>
      <c r="F75" s="42"/>
      <c r="K75" s="9">
        <v>1</v>
      </c>
      <c r="N75" s="9">
        <v>1</v>
      </c>
      <c r="O75" s="9">
        <v>1</v>
      </c>
      <c r="T75" s="10">
        <v>1</v>
      </c>
    </row>
    <row r="76" spans="2:20" ht="48">
      <c r="B76" s="60">
        <f t="shared" si="3"/>
        <v>44</v>
      </c>
      <c r="C76" s="57" t="s">
        <v>255</v>
      </c>
      <c r="D76" s="83"/>
      <c r="E76" s="83"/>
      <c r="F76" s="42"/>
      <c r="K76" s="9">
        <v>1</v>
      </c>
      <c r="N76" s="9">
        <v>1</v>
      </c>
      <c r="O76" s="9">
        <v>1</v>
      </c>
      <c r="S76" s="9">
        <v>1</v>
      </c>
    </row>
    <row r="77" spans="2:20" ht="48">
      <c r="B77" s="60">
        <f t="shared" si="3"/>
        <v>45</v>
      </c>
      <c r="C77" s="56" t="s">
        <v>506</v>
      </c>
      <c r="D77" s="82"/>
      <c r="E77" s="82"/>
      <c r="F77" s="42"/>
      <c r="K77" s="9">
        <v>1</v>
      </c>
      <c r="N77" s="9">
        <v>1</v>
      </c>
      <c r="O77" s="9">
        <v>1</v>
      </c>
      <c r="R77" s="9">
        <v>1</v>
      </c>
    </row>
    <row r="78" spans="2:20" ht="192">
      <c r="B78" s="60">
        <f t="shared" si="3"/>
        <v>46</v>
      </c>
      <c r="C78" s="57" t="s">
        <v>426</v>
      </c>
      <c r="D78" s="83"/>
      <c r="E78" s="83"/>
      <c r="F78" s="42"/>
      <c r="K78" s="9">
        <v>1</v>
      </c>
      <c r="N78" s="9">
        <v>1</v>
      </c>
      <c r="O78" s="9">
        <v>1</v>
      </c>
      <c r="T78" s="10">
        <v>1</v>
      </c>
    </row>
    <row r="79" spans="2:20" ht="113" thickBot="1">
      <c r="B79" s="60">
        <f t="shared" si="3"/>
        <v>47</v>
      </c>
      <c r="C79" s="59" t="s">
        <v>427</v>
      </c>
      <c r="D79" s="85"/>
      <c r="E79" s="85"/>
      <c r="F79" s="42"/>
      <c r="H79" s="8">
        <v>1</v>
      </c>
      <c r="K79" s="9">
        <v>1</v>
      </c>
      <c r="N79" s="9">
        <v>1</v>
      </c>
      <c r="O79" s="9">
        <v>1</v>
      </c>
      <c r="R79" s="9">
        <v>1</v>
      </c>
    </row>
    <row r="80" spans="2:20" ht="27" customHeight="1" thickBot="1">
      <c r="B80" s="101">
        <f>B79</f>
        <v>47</v>
      </c>
      <c r="C80" s="190" t="s">
        <v>388</v>
      </c>
      <c r="D80" s="190"/>
      <c r="E80" s="190"/>
      <c r="F80" s="42"/>
    </row>
    <row r="81" spans="2:20" ht="48" hidden="1" outlineLevel="1">
      <c r="B81" s="60">
        <f t="shared" si="3"/>
        <v>48</v>
      </c>
      <c r="C81" s="56" t="s">
        <v>428</v>
      </c>
      <c r="D81" s="82"/>
      <c r="E81" s="82"/>
      <c r="F81" s="42"/>
      <c r="J81" s="9">
        <v>1</v>
      </c>
      <c r="L81" s="9">
        <v>1</v>
      </c>
      <c r="M81" s="10">
        <v>1</v>
      </c>
      <c r="N81" s="9">
        <v>1</v>
      </c>
      <c r="O81" s="9">
        <v>1</v>
      </c>
      <c r="P81" s="9">
        <v>1</v>
      </c>
      <c r="T81" s="10">
        <v>1</v>
      </c>
    </row>
    <row r="82" spans="2:20" ht="33" hidden="1" outlineLevel="1" thickBot="1">
      <c r="B82" s="60">
        <f t="shared" si="3"/>
        <v>49</v>
      </c>
      <c r="C82" s="58" t="s">
        <v>220</v>
      </c>
      <c r="D82" s="84"/>
      <c r="E82" s="84"/>
      <c r="F82" s="42"/>
      <c r="I82" s="9">
        <v>1</v>
      </c>
      <c r="M82" s="10">
        <v>1</v>
      </c>
      <c r="O82" s="9">
        <v>1</v>
      </c>
      <c r="P82" s="9">
        <v>1</v>
      </c>
      <c r="R82" s="9">
        <v>1</v>
      </c>
      <c r="T82" s="10">
        <v>1</v>
      </c>
    </row>
    <row r="83" spans="2:20" ht="21" collapsed="1">
      <c r="B83" s="39"/>
      <c r="C83" s="54"/>
      <c r="D83" s="55"/>
      <c r="E83" s="55"/>
      <c r="F83" s="42"/>
    </row>
    <row r="84" spans="2:20">
      <c r="B84" s="101">
        <f>B82</f>
        <v>49</v>
      </c>
      <c r="C84" s="31" t="s">
        <v>223</v>
      </c>
      <c r="D84" s="32" t="s">
        <v>33</v>
      </c>
      <c r="E84" s="109" t="s">
        <v>369</v>
      </c>
      <c r="F84" s="42"/>
      <c r="H84" s="8" t="s">
        <v>8</v>
      </c>
      <c r="I84" s="9" t="s">
        <v>9</v>
      </c>
      <c r="J84" s="9" t="s">
        <v>10</v>
      </c>
      <c r="K84" s="9" t="s">
        <v>11</v>
      </c>
      <c r="L84" s="9" t="s">
        <v>12</v>
      </c>
      <c r="M84" s="10" t="s">
        <v>13</v>
      </c>
      <c r="N84" s="9" t="s">
        <v>16</v>
      </c>
      <c r="O84" s="9" t="s">
        <v>17</v>
      </c>
      <c r="P84" s="9" t="s">
        <v>18</v>
      </c>
      <c r="Q84" s="10" t="s">
        <v>19</v>
      </c>
      <c r="R84" s="9" t="s">
        <v>21</v>
      </c>
      <c r="S84" s="9" t="s">
        <v>22</v>
      </c>
      <c r="T84" s="10" t="s">
        <v>23</v>
      </c>
    </row>
    <row r="85" spans="2:20" ht="128">
      <c r="B85" s="60">
        <f t="shared" ref="B85:B104" si="4">B84+1</f>
        <v>50</v>
      </c>
      <c r="C85" s="56" t="s">
        <v>429</v>
      </c>
      <c r="D85" s="82"/>
      <c r="E85" s="82"/>
      <c r="F85" s="42"/>
      <c r="H85" s="8">
        <v>1</v>
      </c>
      <c r="N85" s="9">
        <v>1</v>
      </c>
      <c r="R85" s="9">
        <v>1</v>
      </c>
    </row>
    <row r="86" spans="2:20" ht="96">
      <c r="B86" s="60">
        <f t="shared" si="4"/>
        <v>51</v>
      </c>
      <c r="C86" s="57" t="s">
        <v>256</v>
      </c>
      <c r="D86" s="83"/>
      <c r="E86" s="83"/>
      <c r="F86" s="42"/>
      <c r="J86" s="9">
        <v>1</v>
      </c>
      <c r="L86" s="9">
        <v>1</v>
      </c>
      <c r="P86" s="9">
        <v>1</v>
      </c>
      <c r="S86" s="9">
        <v>1</v>
      </c>
      <c r="T86" s="10">
        <v>1</v>
      </c>
    </row>
    <row r="87" spans="2:20" ht="48">
      <c r="B87" s="60">
        <f t="shared" si="4"/>
        <v>52</v>
      </c>
      <c r="C87" s="56" t="s">
        <v>416</v>
      </c>
      <c r="D87" s="82"/>
      <c r="E87" s="82"/>
      <c r="F87" s="42"/>
      <c r="K87" s="9">
        <v>1</v>
      </c>
      <c r="O87" s="9">
        <v>1</v>
      </c>
      <c r="R87" s="9">
        <v>1</v>
      </c>
    </row>
    <row r="88" spans="2:20">
      <c r="B88" s="60">
        <f t="shared" si="4"/>
        <v>53</v>
      </c>
      <c r="C88" s="57" t="s">
        <v>257</v>
      </c>
      <c r="D88" s="83"/>
      <c r="E88" s="83"/>
      <c r="F88" s="42"/>
      <c r="K88" s="9">
        <v>1</v>
      </c>
      <c r="O88" s="9">
        <v>1</v>
      </c>
      <c r="R88" s="9">
        <v>1</v>
      </c>
    </row>
    <row r="89" spans="2:20" ht="32">
      <c r="B89" s="60">
        <f t="shared" si="4"/>
        <v>54</v>
      </c>
      <c r="C89" s="56" t="s">
        <v>447</v>
      </c>
      <c r="D89" s="82"/>
      <c r="E89" s="82"/>
      <c r="F89" s="42"/>
      <c r="K89" s="9">
        <v>1</v>
      </c>
      <c r="N89" s="9">
        <v>1</v>
      </c>
      <c r="T89" s="10">
        <v>1</v>
      </c>
    </row>
    <row r="90" spans="2:20" ht="64">
      <c r="B90" s="60">
        <f t="shared" si="4"/>
        <v>55</v>
      </c>
      <c r="C90" s="57" t="s">
        <v>448</v>
      </c>
      <c r="D90" s="83"/>
      <c r="E90" s="83"/>
      <c r="F90" s="42"/>
      <c r="I90" s="9">
        <v>1</v>
      </c>
      <c r="O90" s="9">
        <v>1</v>
      </c>
      <c r="T90" s="10">
        <v>1</v>
      </c>
    </row>
    <row r="91" spans="2:20" ht="32">
      <c r="B91" s="60">
        <f t="shared" si="4"/>
        <v>56</v>
      </c>
      <c r="C91" s="56" t="s">
        <v>258</v>
      </c>
      <c r="D91" s="82"/>
      <c r="E91" s="82"/>
      <c r="F91" s="42"/>
      <c r="K91" s="9">
        <v>1</v>
      </c>
      <c r="P91" s="9">
        <v>1</v>
      </c>
      <c r="Q91" s="10">
        <v>1</v>
      </c>
      <c r="R91" s="9">
        <v>1</v>
      </c>
      <c r="S91" s="9">
        <v>1</v>
      </c>
      <c r="T91" s="10">
        <v>1</v>
      </c>
    </row>
    <row r="92" spans="2:20" ht="32">
      <c r="B92" s="60">
        <f t="shared" si="4"/>
        <v>57</v>
      </c>
      <c r="C92" s="57" t="s">
        <v>449</v>
      </c>
      <c r="D92" s="83"/>
      <c r="E92" s="83"/>
      <c r="F92" s="42"/>
      <c r="K92" s="9">
        <v>1</v>
      </c>
      <c r="N92" s="9">
        <v>1</v>
      </c>
      <c r="R92" s="9">
        <v>1</v>
      </c>
    </row>
    <row r="93" spans="2:20" ht="48">
      <c r="B93" s="60">
        <f t="shared" si="4"/>
        <v>58</v>
      </c>
      <c r="C93" s="56" t="s">
        <v>259</v>
      </c>
      <c r="D93" s="82"/>
      <c r="E93" s="82"/>
      <c r="F93" s="42"/>
      <c r="J93" s="9">
        <v>1</v>
      </c>
      <c r="K93" s="9">
        <v>1</v>
      </c>
      <c r="N93" s="9">
        <v>1</v>
      </c>
      <c r="P93" s="9">
        <v>1</v>
      </c>
      <c r="R93" s="9">
        <v>1</v>
      </c>
      <c r="S93" s="9">
        <v>1</v>
      </c>
    </row>
    <row r="94" spans="2:20" ht="48">
      <c r="B94" s="60">
        <f t="shared" si="4"/>
        <v>59</v>
      </c>
      <c r="C94" s="57" t="s">
        <v>260</v>
      </c>
      <c r="D94" s="83"/>
      <c r="E94" s="83"/>
      <c r="F94" s="42"/>
      <c r="J94" s="9">
        <v>1</v>
      </c>
      <c r="O94" s="9">
        <v>1</v>
      </c>
      <c r="T94" s="10">
        <v>1</v>
      </c>
    </row>
    <row r="95" spans="2:20" ht="65" thickBot="1">
      <c r="B95" s="60">
        <f t="shared" si="4"/>
        <v>60</v>
      </c>
      <c r="C95" s="59" t="s">
        <v>453</v>
      </c>
      <c r="D95" s="85"/>
      <c r="E95" s="85"/>
      <c r="F95" s="42"/>
      <c r="H95" s="8">
        <v>1</v>
      </c>
      <c r="Q95" s="10">
        <v>1</v>
      </c>
      <c r="T95" s="10">
        <v>1</v>
      </c>
    </row>
    <row r="96" spans="2:20" ht="27" customHeight="1" thickBot="1">
      <c r="B96" s="101">
        <f>B95</f>
        <v>60</v>
      </c>
      <c r="C96" s="190" t="s">
        <v>388</v>
      </c>
      <c r="D96" s="190"/>
      <c r="E96" s="190"/>
      <c r="F96" s="42"/>
    </row>
    <row r="97" spans="2:20" ht="96" hidden="1" outlineLevel="1">
      <c r="B97" s="60">
        <f t="shared" si="4"/>
        <v>61</v>
      </c>
      <c r="C97" s="56" t="s">
        <v>224</v>
      </c>
      <c r="D97" s="82"/>
      <c r="E97" s="82"/>
      <c r="F97" s="42"/>
      <c r="H97" s="8">
        <v>1</v>
      </c>
      <c r="I97" s="9">
        <v>1</v>
      </c>
      <c r="N97" s="9">
        <v>1</v>
      </c>
      <c r="R97" s="9">
        <v>1</v>
      </c>
    </row>
    <row r="98" spans="2:20" ht="32" hidden="1" outlineLevel="1">
      <c r="B98" s="60">
        <f t="shared" si="4"/>
        <v>62</v>
      </c>
      <c r="C98" s="57" t="s">
        <v>225</v>
      </c>
      <c r="D98" s="83"/>
      <c r="E98" s="83"/>
      <c r="F98" s="42"/>
      <c r="L98" s="9">
        <v>1</v>
      </c>
      <c r="N98" s="9">
        <v>1</v>
      </c>
      <c r="O98" s="9">
        <v>1</v>
      </c>
      <c r="R98" s="9">
        <v>1</v>
      </c>
      <c r="S98" s="9">
        <v>1</v>
      </c>
      <c r="T98" s="10">
        <v>1</v>
      </c>
    </row>
    <row r="99" spans="2:20" ht="32" hidden="1" outlineLevel="1">
      <c r="B99" s="60">
        <f t="shared" si="4"/>
        <v>63</v>
      </c>
      <c r="C99" s="56" t="s">
        <v>226</v>
      </c>
      <c r="D99" s="82"/>
      <c r="E99" s="82"/>
      <c r="F99" s="42"/>
      <c r="K99" s="9">
        <v>1</v>
      </c>
      <c r="P99" s="9">
        <v>1</v>
      </c>
      <c r="Q99" s="10">
        <v>1</v>
      </c>
      <c r="R99" s="9">
        <v>1</v>
      </c>
    </row>
    <row r="100" spans="2:20" ht="32" hidden="1" outlineLevel="1">
      <c r="B100" s="60">
        <f t="shared" si="4"/>
        <v>64</v>
      </c>
      <c r="C100" s="57" t="s">
        <v>227</v>
      </c>
      <c r="D100" s="83"/>
      <c r="E100" s="83"/>
      <c r="F100" s="42"/>
      <c r="K100" s="9">
        <v>1</v>
      </c>
      <c r="L100" s="9">
        <v>1</v>
      </c>
      <c r="N100" s="9">
        <v>1</v>
      </c>
      <c r="R100" s="9">
        <v>1</v>
      </c>
    </row>
    <row r="101" spans="2:20" hidden="1" outlineLevel="1">
      <c r="B101" s="60">
        <f t="shared" si="4"/>
        <v>65</v>
      </c>
      <c r="C101" s="56" t="s">
        <v>228</v>
      </c>
      <c r="D101" s="82"/>
      <c r="E101" s="82"/>
      <c r="F101" s="42"/>
      <c r="K101" s="9">
        <v>1</v>
      </c>
      <c r="O101" s="9">
        <v>1</v>
      </c>
      <c r="R101" s="9">
        <v>1</v>
      </c>
    </row>
    <row r="102" spans="2:20" ht="32" hidden="1" outlineLevel="1">
      <c r="B102" s="60">
        <f t="shared" si="4"/>
        <v>66</v>
      </c>
      <c r="C102" s="57" t="s">
        <v>229</v>
      </c>
      <c r="D102" s="83"/>
      <c r="E102" s="83"/>
      <c r="F102" s="42"/>
      <c r="K102" s="9">
        <v>1</v>
      </c>
      <c r="Q102" s="10">
        <v>1</v>
      </c>
      <c r="R102" s="9">
        <v>1</v>
      </c>
    </row>
    <row r="103" spans="2:20" ht="32" hidden="1" outlineLevel="1">
      <c r="B103" s="60">
        <f t="shared" si="4"/>
        <v>67</v>
      </c>
      <c r="C103" s="56" t="s">
        <v>230</v>
      </c>
      <c r="D103" s="82"/>
      <c r="E103" s="82"/>
      <c r="F103" s="42"/>
      <c r="H103" s="8">
        <v>1</v>
      </c>
      <c r="J103" s="9">
        <v>1</v>
      </c>
      <c r="N103" s="9">
        <v>1</v>
      </c>
      <c r="Q103" s="10">
        <v>1</v>
      </c>
      <c r="R103" s="9">
        <v>1</v>
      </c>
    </row>
    <row r="104" spans="2:20" ht="81" hidden="1" outlineLevel="1" thickBot="1">
      <c r="B104" s="60">
        <f t="shared" si="4"/>
        <v>68</v>
      </c>
      <c r="C104" s="58" t="s">
        <v>431</v>
      </c>
      <c r="D104" s="84"/>
      <c r="E104" s="84"/>
      <c r="F104" s="42"/>
      <c r="H104" s="8">
        <v>1</v>
      </c>
      <c r="K104" s="9">
        <v>1</v>
      </c>
      <c r="Q104" s="10">
        <v>1</v>
      </c>
      <c r="R104" s="9">
        <v>1</v>
      </c>
      <c r="T104" s="10">
        <v>1</v>
      </c>
    </row>
    <row r="105" spans="2:20" ht="21" collapsed="1">
      <c r="B105" s="39"/>
      <c r="C105" s="54"/>
      <c r="D105" s="55"/>
      <c r="E105" s="55"/>
      <c r="F105" s="42"/>
    </row>
    <row r="106" spans="2:20">
      <c r="B106" s="101">
        <f>B104</f>
        <v>68</v>
      </c>
      <c r="C106" s="31" t="s">
        <v>231</v>
      </c>
      <c r="D106" s="32" t="s">
        <v>33</v>
      </c>
      <c r="E106" s="109" t="s">
        <v>369</v>
      </c>
      <c r="F106" s="42"/>
      <c r="H106" s="8" t="s">
        <v>8</v>
      </c>
      <c r="I106" s="9" t="s">
        <v>9</v>
      </c>
      <c r="J106" s="9" t="s">
        <v>10</v>
      </c>
      <c r="K106" s="9" t="s">
        <v>11</v>
      </c>
      <c r="L106" s="9" t="s">
        <v>12</v>
      </c>
      <c r="M106" s="10" t="s">
        <v>13</v>
      </c>
      <c r="N106" s="9" t="s">
        <v>16</v>
      </c>
      <c r="O106" s="9" t="s">
        <v>17</v>
      </c>
      <c r="P106" s="9" t="s">
        <v>18</v>
      </c>
      <c r="Q106" s="10" t="s">
        <v>19</v>
      </c>
      <c r="R106" s="9" t="s">
        <v>21</v>
      </c>
      <c r="S106" s="9" t="s">
        <v>22</v>
      </c>
      <c r="T106" s="10" t="s">
        <v>23</v>
      </c>
    </row>
    <row r="107" spans="2:20" ht="112">
      <c r="B107" s="60">
        <f t="shared" ref="B107:B119" si="5">B106+1</f>
        <v>69</v>
      </c>
      <c r="C107" s="139" t="s">
        <v>261</v>
      </c>
      <c r="D107" s="140"/>
      <c r="E107" s="140"/>
      <c r="F107" s="42"/>
      <c r="H107" s="8">
        <v>1</v>
      </c>
      <c r="I107" s="9">
        <v>1</v>
      </c>
      <c r="K107" s="9">
        <v>1</v>
      </c>
      <c r="M107" s="10">
        <v>1</v>
      </c>
      <c r="N107" s="9">
        <v>1</v>
      </c>
      <c r="O107" s="9">
        <v>1</v>
      </c>
      <c r="T107" s="10">
        <v>1</v>
      </c>
    </row>
    <row r="108" spans="2:20" ht="48">
      <c r="B108" s="60">
        <f t="shared" si="5"/>
        <v>70</v>
      </c>
      <c r="C108" s="57" t="s">
        <v>262</v>
      </c>
      <c r="D108" s="83"/>
      <c r="E108" s="83"/>
      <c r="F108" s="42"/>
      <c r="J108" s="9">
        <v>1</v>
      </c>
      <c r="L108" s="9">
        <v>1</v>
      </c>
      <c r="M108" s="10">
        <v>1</v>
      </c>
      <c r="O108" s="9">
        <v>1</v>
      </c>
      <c r="Q108" s="10">
        <v>1</v>
      </c>
      <c r="T108" s="10">
        <v>1</v>
      </c>
    </row>
    <row r="109" spans="2:20" ht="96">
      <c r="B109" s="60">
        <f t="shared" si="5"/>
        <v>71</v>
      </c>
      <c r="C109" s="56" t="s">
        <v>263</v>
      </c>
      <c r="D109" s="82"/>
      <c r="E109" s="82"/>
      <c r="F109" s="42"/>
      <c r="J109" s="9">
        <v>1</v>
      </c>
      <c r="O109" s="9">
        <v>1</v>
      </c>
      <c r="T109" s="10">
        <v>1</v>
      </c>
    </row>
    <row r="110" spans="2:20" ht="32">
      <c r="B110" s="60">
        <f t="shared" si="5"/>
        <v>72</v>
      </c>
      <c r="C110" s="57" t="s">
        <v>264</v>
      </c>
      <c r="D110" s="83"/>
      <c r="E110" s="83"/>
      <c r="F110" s="42"/>
      <c r="H110" s="8">
        <v>1</v>
      </c>
      <c r="K110" s="9">
        <v>1</v>
      </c>
      <c r="Q110" s="10">
        <v>1</v>
      </c>
      <c r="T110" s="10">
        <v>1</v>
      </c>
    </row>
    <row r="111" spans="2:20" ht="48">
      <c r="B111" s="60">
        <f t="shared" si="5"/>
        <v>73</v>
      </c>
      <c r="C111" s="56" t="s">
        <v>430</v>
      </c>
      <c r="D111" s="82"/>
      <c r="E111" s="82"/>
      <c r="F111" s="42"/>
      <c r="I111" s="9">
        <v>1</v>
      </c>
      <c r="Q111" s="10">
        <v>1</v>
      </c>
      <c r="S111" s="9">
        <v>1</v>
      </c>
    </row>
    <row r="112" spans="2:20" ht="33" thickBot="1">
      <c r="B112" s="60">
        <f t="shared" si="5"/>
        <v>74</v>
      </c>
      <c r="C112" s="58" t="s">
        <v>265</v>
      </c>
      <c r="D112" s="84"/>
      <c r="E112" s="84"/>
      <c r="F112" s="42"/>
      <c r="L112" s="9">
        <v>1</v>
      </c>
      <c r="O112" s="9">
        <v>1</v>
      </c>
      <c r="P112" s="9">
        <v>1</v>
      </c>
      <c r="T112" s="10">
        <v>1</v>
      </c>
    </row>
    <row r="113" spans="1:20" ht="27" customHeight="1" thickBot="1">
      <c r="B113" s="101">
        <f>B112</f>
        <v>74</v>
      </c>
      <c r="C113" s="190" t="s">
        <v>388</v>
      </c>
      <c r="D113" s="190"/>
      <c r="E113" s="190"/>
      <c r="F113" s="42"/>
    </row>
    <row r="114" spans="1:20" ht="96" hidden="1" outlineLevel="1">
      <c r="B114" s="60">
        <f t="shared" si="5"/>
        <v>75</v>
      </c>
      <c r="C114" s="141" t="s">
        <v>232</v>
      </c>
      <c r="D114" s="142"/>
      <c r="E114" s="142"/>
      <c r="F114" s="42"/>
      <c r="H114" s="8">
        <v>1</v>
      </c>
      <c r="N114" s="9">
        <v>1</v>
      </c>
      <c r="T114" s="10">
        <v>1</v>
      </c>
    </row>
    <row r="115" spans="1:20" ht="48" hidden="1" outlineLevel="1">
      <c r="B115" s="60">
        <f t="shared" si="5"/>
        <v>76</v>
      </c>
      <c r="C115" s="57" t="s">
        <v>233</v>
      </c>
      <c r="D115" s="83"/>
      <c r="E115" s="83"/>
      <c r="F115" s="42"/>
      <c r="I115" s="9">
        <v>1</v>
      </c>
      <c r="Q115" s="10">
        <v>1</v>
      </c>
      <c r="T115" s="10">
        <v>1</v>
      </c>
    </row>
    <row r="116" spans="1:20" ht="32" hidden="1" outlineLevel="1">
      <c r="B116" s="60">
        <f t="shared" si="5"/>
        <v>77</v>
      </c>
      <c r="C116" s="56" t="s">
        <v>234</v>
      </c>
      <c r="D116" s="82"/>
      <c r="E116" s="82"/>
      <c r="F116" s="42"/>
      <c r="L116" s="9">
        <v>1</v>
      </c>
      <c r="Q116" s="10">
        <v>1</v>
      </c>
      <c r="T116" s="10">
        <v>1</v>
      </c>
    </row>
    <row r="117" spans="1:20" ht="48" hidden="1" outlineLevel="1">
      <c r="B117" s="60">
        <f t="shared" si="5"/>
        <v>78</v>
      </c>
      <c r="C117" s="57" t="s">
        <v>432</v>
      </c>
      <c r="D117" s="83"/>
      <c r="E117" s="83"/>
      <c r="F117" s="42"/>
      <c r="I117" s="9">
        <v>1</v>
      </c>
      <c r="Q117" s="10">
        <v>1</v>
      </c>
      <c r="T117" s="10">
        <v>1</v>
      </c>
    </row>
    <row r="118" spans="1:20" ht="50" hidden="1" customHeight="1" outlineLevel="1">
      <c r="B118" s="60">
        <f t="shared" si="5"/>
        <v>79</v>
      </c>
      <c r="C118" s="56" t="s">
        <v>452</v>
      </c>
      <c r="D118" s="82"/>
      <c r="E118" s="82"/>
      <c r="F118" s="42"/>
      <c r="J118" s="9">
        <v>1</v>
      </c>
      <c r="Q118" s="10">
        <v>1</v>
      </c>
      <c r="R118" s="9">
        <v>1</v>
      </c>
    </row>
    <row r="119" spans="1:20" ht="65" hidden="1" outlineLevel="1" thickBot="1">
      <c r="B119" s="60">
        <f t="shared" si="5"/>
        <v>80</v>
      </c>
      <c r="C119" s="155" t="s">
        <v>433</v>
      </c>
      <c r="D119" s="156"/>
      <c r="E119" s="156"/>
      <c r="F119" s="42"/>
      <c r="I119" s="9">
        <v>1</v>
      </c>
      <c r="Q119" s="10">
        <v>1</v>
      </c>
      <c r="T119" s="10">
        <v>1</v>
      </c>
    </row>
    <row r="120" spans="1:20" ht="27" customHeight="1" collapsed="1">
      <c r="B120" s="39"/>
      <c r="C120" s="208" t="s">
        <v>499</v>
      </c>
      <c r="D120" s="208"/>
      <c r="E120" s="208"/>
      <c r="F120" s="42"/>
    </row>
    <row r="121" spans="1:20">
      <c r="B121" s="63"/>
      <c r="C121" s="191"/>
      <c r="D121" s="191"/>
      <c r="E121" s="157"/>
      <c r="F121" s="66"/>
    </row>
    <row r="122" spans="1:20" s="12" customFormat="1">
      <c r="A122" s="4"/>
      <c r="C122" s="17"/>
      <c r="D122" s="9"/>
      <c r="E122" s="9"/>
      <c r="G122" s="4"/>
      <c r="H122" s="9"/>
      <c r="I122" s="9"/>
      <c r="J122" s="9"/>
      <c r="K122" s="9"/>
      <c r="L122" s="9"/>
      <c r="M122" s="9"/>
      <c r="N122" s="9"/>
      <c r="O122" s="9"/>
      <c r="P122" s="9"/>
      <c r="Q122" s="9"/>
      <c r="R122" s="9"/>
      <c r="S122" s="9"/>
      <c r="T122" s="9"/>
    </row>
    <row r="123" spans="1:20" hidden="1">
      <c r="B123" s="52"/>
      <c r="F123" s="53"/>
    </row>
    <row r="124" spans="1:20" hidden="1">
      <c r="B124" s="52"/>
      <c r="F124" s="53"/>
    </row>
    <row r="125" spans="1:20" hidden="1">
      <c r="B125" s="52"/>
      <c r="F125" s="53"/>
    </row>
  </sheetData>
  <sheetProtection sheet="1" objects="1" scenarios="1" formatRows="0"/>
  <mergeCells count="19">
    <mergeCell ref="C15:D15"/>
    <mergeCell ref="C16:D16"/>
    <mergeCell ref="C3:E3"/>
    <mergeCell ref="C4:E4"/>
    <mergeCell ref="C11:E11"/>
    <mergeCell ref="C12:E12"/>
    <mergeCell ref="C14:E14"/>
    <mergeCell ref="C7:E7"/>
    <mergeCell ref="C8:E8"/>
    <mergeCell ref="C9:E9"/>
    <mergeCell ref="C10:E10"/>
    <mergeCell ref="C13:E13"/>
    <mergeCell ref="C96:E96"/>
    <mergeCell ref="C80:E80"/>
    <mergeCell ref="C63:E63"/>
    <mergeCell ref="C41:E41"/>
    <mergeCell ref="C121:D121"/>
    <mergeCell ref="C113:E113"/>
    <mergeCell ref="C120:E120"/>
  </mergeCells>
  <dataValidations count="2">
    <dataValidation type="list" allowBlank="1" showInputMessage="1" showErrorMessage="1" sqref="D24" xr:uid="{F5AED12B-0397-E94D-BEE6-2BC9B21F74F7}">
      <formula1>"Yes,No"</formula1>
    </dataValidation>
    <dataValidation type="decimal" allowBlank="1" showInputMessage="1" showErrorMessage="1" sqref="D97:D104 D42:D52 D64:D70 D81:D82 D27:D40 D55:E62 D85:D95 D114:D119 D73:D79 D107:D112" xr:uid="{484BD951-A7F9-384D-A572-56F4432152B5}">
      <formula1>0</formula1>
      <formula2>3</formula2>
    </dataValidation>
  </dataValidations>
  <hyperlinks>
    <hyperlink ref="C15:D15" location="Definitions!A1" display="(1) Additional descriptions on categories, domains, and themes of equity used throughout this tool" xr:uid="{A16E677C-5101-6245-962F-9455C971A3CE}"/>
    <hyperlink ref="C16:D16" location="Definitions!A1" display="Glossary of Terms" xr:uid="{3C4E4DB1-5F1C-1740-8FE3-A5EBB88BDDBA}"/>
    <hyperlink ref="C120:D120" location="Scoring!A1" display="Finished? Visit the 'Scoring' tab to see your results" xr:uid="{4B6F1118-6A86-B246-9AAC-2D1ED72E76FA}"/>
  </hyperlinks>
  <pageMargins left="0.7" right="0.7" top="0.75" bottom="0.75" header="0.3" footer="0.3"/>
  <pageSetup scale="63" fitToHeight="2" orientation="portrait" horizontalDpi="0" verticalDpi="0"/>
  <rowBreaks count="7" manualBreakCount="7">
    <brk id="16" max="6" man="1"/>
    <brk id="44" max="6" man="1"/>
    <brk id="49" max="6" man="1"/>
    <brk id="56" max="6" man="1"/>
    <brk id="71" max="6" man="1"/>
    <brk id="83" max="5" man="1"/>
    <brk id="105" max="5" man="1"/>
  </rowBreaks>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8F156D09-E598-2045-AC66-26AF7A0E4B7A}">
          <x14:formula1>
            <xm:f>'c40_cities'!$C$2:$C$99</xm:f>
          </x14:formula1>
          <xm:sqref>D20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825BE-CA8F-CC40-B911-9089D44CC5D1}">
  <sheetPr codeName="Sheet3"/>
  <dimension ref="A1:S75"/>
  <sheetViews>
    <sheetView zoomScale="150" zoomScaleNormal="150" workbookViewId="0"/>
  </sheetViews>
  <sheetFormatPr baseColWidth="10" defaultColWidth="0" defaultRowHeight="15" zeroHeight="1"/>
  <cols>
    <col min="1" max="1" width="2.5" style="18" customWidth="1"/>
    <col min="2" max="3" width="20.83203125" style="6" customWidth="1"/>
    <col min="4" max="4" width="23.33203125" style="6" customWidth="1"/>
    <col min="5" max="6" width="20.83203125" style="6" customWidth="1"/>
    <col min="7" max="7" width="2.5" style="18" customWidth="1"/>
    <col min="8" max="11" width="0" style="6" hidden="1" customWidth="1"/>
    <col min="12" max="16384" width="10.83203125" style="6" hidden="1"/>
  </cols>
  <sheetData>
    <row r="1" spans="1:19" s="3" customFormat="1" ht="15" customHeight="1">
      <c r="A1" s="2"/>
      <c r="B1" s="2"/>
      <c r="C1" s="2"/>
      <c r="D1" s="2"/>
      <c r="F1" s="2"/>
      <c r="G1" s="8"/>
      <c r="H1" s="9" t="s">
        <v>9</v>
      </c>
      <c r="I1" s="9" t="s">
        <v>10</v>
      </c>
      <c r="J1" s="9" t="s">
        <v>11</v>
      </c>
      <c r="K1" s="9" t="s">
        <v>12</v>
      </c>
      <c r="L1" s="10" t="s">
        <v>13</v>
      </c>
      <c r="M1" s="9" t="s">
        <v>16</v>
      </c>
      <c r="N1" s="9" t="s">
        <v>17</v>
      </c>
      <c r="O1" s="9" t="s">
        <v>18</v>
      </c>
      <c r="P1" s="10" t="s">
        <v>19</v>
      </c>
      <c r="Q1" s="9" t="s">
        <v>21</v>
      </c>
      <c r="R1" s="9" t="s">
        <v>22</v>
      </c>
      <c r="S1" s="10" t="s">
        <v>23</v>
      </c>
    </row>
    <row r="2" spans="1:19" s="5" customFormat="1" ht="15" customHeight="1" thickBot="1">
      <c r="A2" s="106"/>
      <c r="B2" s="38"/>
      <c r="C2" s="37"/>
      <c r="D2" s="37"/>
      <c r="E2" s="37"/>
      <c r="F2" s="115"/>
      <c r="G2" s="12"/>
      <c r="H2" s="12"/>
      <c r="I2" s="12"/>
      <c r="J2" s="12"/>
      <c r="K2" s="12"/>
      <c r="L2" s="13"/>
      <c r="M2" s="12"/>
      <c r="N2" s="12"/>
      <c r="O2" s="12"/>
      <c r="P2" s="13"/>
      <c r="Q2" s="12"/>
      <c r="R2" s="12"/>
      <c r="S2" s="13"/>
    </row>
    <row r="3" spans="1:19" s="5" customFormat="1" ht="73" customHeight="1" thickBot="1">
      <c r="A3" s="4"/>
      <c r="B3" s="39"/>
      <c r="C3" s="182" t="s">
        <v>1</v>
      </c>
      <c r="D3" s="183"/>
      <c r="E3" s="184"/>
      <c r="F3" s="116"/>
      <c r="G3" s="12"/>
      <c r="H3" s="12"/>
      <c r="I3" s="12"/>
      <c r="J3" s="12"/>
      <c r="K3" s="12"/>
      <c r="L3" s="13"/>
      <c r="M3" s="12"/>
      <c r="N3" s="12"/>
      <c r="O3" s="12"/>
      <c r="P3" s="13"/>
      <c r="Q3" s="12"/>
      <c r="R3" s="12"/>
      <c r="S3" s="13"/>
    </row>
    <row r="4" spans="1:19" s="5" customFormat="1" ht="19">
      <c r="A4" s="4"/>
      <c r="B4" s="63"/>
      <c r="C4" s="211" t="s">
        <v>278</v>
      </c>
      <c r="D4" s="211"/>
      <c r="E4" s="211"/>
      <c r="F4" s="117"/>
      <c r="G4" s="12"/>
      <c r="H4" s="12"/>
      <c r="I4" s="12"/>
      <c r="J4" s="12"/>
      <c r="K4" s="12"/>
      <c r="L4" s="13"/>
      <c r="M4" s="12"/>
      <c r="N4" s="12"/>
      <c r="O4" s="12"/>
      <c r="P4" s="13"/>
      <c r="Q4" s="12"/>
      <c r="R4" s="12"/>
      <c r="S4" s="13"/>
    </row>
    <row r="5" spans="1:19" s="17" customFormat="1">
      <c r="A5" s="16" t="s">
        <v>0</v>
      </c>
      <c r="B5" s="17" t="str">
        <f>"EQuiPD Self-Assessment Scores: "&amp;IF('Self-Assessment'!$D$20="Not listed",'Self-Assessment'!$D$21,'Self-Assessment'!$D$20)&amp;" "&amp;'Self-Assessment'!D$23</f>
        <v xml:space="preserve">EQuiPD Self-Assessment Scores:  </v>
      </c>
      <c r="G5" s="16" t="s">
        <v>0</v>
      </c>
    </row>
    <row r="6" spans="1:19" ht="377" customHeight="1">
      <c r="B6" s="118"/>
      <c r="C6" s="119"/>
      <c r="D6" s="119"/>
      <c r="E6" s="119"/>
      <c r="F6" s="120"/>
    </row>
    <row r="7" spans="1:19" s="17" customFormat="1" ht="16" customHeight="1">
      <c r="A7" s="16" t="s">
        <v>0</v>
      </c>
      <c r="B7" s="17" t="str">
        <f>"EQuiPD Self-Assessment Scores: "&amp;IF('Self-Assessment'!$D$20="Not listed",'Self-Assessment'!$D$21,'Self-Assessment'!$D$20)&amp;" "&amp;'Self-Assessment'!D$23</f>
        <v xml:space="preserve">EQuiPD Self-Assessment Scores:  </v>
      </c>
      <c r="E7" s="209" t="s">
        <v>275</v>
      </c>
      <c r="F7" s="209"/>
      <c r="G7" s="16" t="s">
        <v>0</v>
      </c>
    </row>
    <row r="8" spans="1:19" ht="19">
      <c r="B8" s="19" t="s">
        <v>2</v>
      </c>
      <c r="C8" s="20"/>
      <c r="D8" s="20"/>
      <c r="E8" s="20"/>
      <c r="F8" s="20"/>
    </row>
    <row r="9" spans="1:19" ht="96" customHeight="1">
      <c r="B9" s="200" t="s">
        <v>32</v>
      </c>
      <c r="C9" s="200"/>
      <c r="D9" s="200"/>
      <c r="E9" s="200"/>
      <c r="F9" s="200"/>
    </row>
    <row r="10" spans="1:19" ht="16" customHeight="1">
      <c r="B10" s="20"/>
      <c r="C10" s="20"/>
      <c r="D10" s="210" t="s">
        <v>276</v>
      </c>
      <c r="E10" s="210"/>
      <c r="F10" s="210"/>
    </row>
    <row r="11" spans="1:19">
      <c r="B11" s="21"/>
      <c r="C11" s="212" t="s">
        <v>24</v>
      </c>
      <c r="D11" s="212"/>
      <c r="E11" s="212"/>
      <c r="F11" s="22"/>
    </row>
    <row r="12" spans="1:19" ht="32">
      <c r="B12" s="23" t="s">
        <v>15</v>
      </c>
      <c r="C12" s="24" t="s">
        <v>29</v>
      </c>
      <c r="D12" s="24" t="s">
        <v>30</v>
      </c>
      <c r="E12" s="24" t="s">
        <v>31</v>
      </c>
      <c r="F12" s="49" t="s">
        <v>208</v>
      </c>
    </row>
    <row r="13" spans="1:19" ht="33" customHeight="1">
      <c r="B13" s="25" t="s">
        <v>25</v>
      </c>
      <c r="C13" s="46" t="str">
        <f>IFERROR(AVERAGEIFS('Self-Assessment'!D$26:D$316,'Self-Assessment'!H$26:H$316,1,'Self-Assessment'!N$26:N$316,1,'Self-Assessment'!R$26:R$316,1),"")</f>
        <v/>
      </c>
      <c r="D13" s="46" t="str">
        <f>IFERROR(AVERAGEIFS('Self-Assessment'!D$26:D$316,'Self-Assessment'!H$26:H$316,1,'Self-Assessment'!N$26:N$316,1,'Self-Assessment'!S$26:S$316,1),"")</f>
        <v/>
      </c>
      <c r="E13" s="46" t="str">
        <f>IFERROR(AVERAGEIFS('Self-Assessment'!D$26:D$316,'Self-Assessment'!H$26:H$316,1,'Self-Assessment'!N$26:N$316,1,'Self-Assessment'!T$26:T$316,1),"")</f>
        <v/>
      </c>
      <c r="F13" s="103" t="str">
        <f>IFERROR(AVERAGEIFS('Self-Assessment'!D$26:D$316,'Self-Assessment'!H$26:H$316,1,'Self-Assessment'!N$26:N$316,1),"")</f>
        <v/>
      </c>
    </row>
    <row r="14" spans="1:19" ht="33" customHeight="1">
      <c r="B14" s="26" t="s">
        <v>26</v>
      </c>
      <c r="C14" s="47" t="str">
        <f>IFERROR(AVERAGEIFS('Self-Assessment'!D$26:D$316,'Self-Assessment'!H$26:H$316,1,'Self-Assessment'!O$26:O$316,1,'Self-Assessment'!R$26:R$316,1),"")</f>
        <v/>
      </c>
      <c r="D14" s="47" t="str">
        <f>IFERROR(AVERAGEIFS('Self-Assessment'!D$26:D$316,'Self-Assessment'!H$26:H$316,1,'Self-Assessment'!O$26:O$316,1,'Self-Assessment'!S$26:S$316,1),"")</f>
        <v/>
      </c>
      <c r="E14" s="47" t="str">
        <f>IFERROR(AVERAGEIFS('Self-Assessment'!D$26:D$316,'Self-Assessment'!H$26:H$316,1,'Self-Assessment'!O$26:O$316,1,'Self-Assessment'!T$26:T$316,1),"")</f>
        <v/>
      </c>
      <c r="F14" s="104" t="str">
        <f>IFERROR(AVERAGEIFS('Self-Assessment'!D$26:D$316,'Self-Assessment'!H$26:H$316,1,'Self-Assessment'!O$26:O$316,1),"")</f>
        <v/>
      </c>
    </row>
    <row r="15" spans="1:19" ht="33" customHeight="1">
      <c r="B15" s="26" t="s">
        <v>27</v>
      </c>
      <c r="C15" s="47" t="str">
        <f>IFERROR(AVERAGEIFS('Self-Assessment'!D$26:D$316,'Self-Assessment'!H$26:H$316,1,'Self-Assessment'!P$26:P$316,1,'Self-Assessment'!R$26:R$316,1),"")</f>
        <v/>
      </c>
      <c r="D15" s="47" t="str">
        <f>IFERROR(AVERAGEIFS('Self-Assessment'!D$26:D$316,'Self-Assessment'!H$26:H$316,1,'Self-Assessment'!P$26:P$316,1,'Self-Assessment'!S$26:S$316,1),"")</f>
        <v/>
      </c>
      <c r="E15" s="47" t="str">
        <f>IFERROR(AVERAGEIFS('Self-Assessment'!D$26:D$316,'Self-Assessment'!H$26:H$316,1,'Self-Assessment'!P$26:P$316,1,'Self-Assessment'!T$26:T$316,1),"")</f>
        <v/>
      </c>
      <c r="F15" s="104" t="str">
        <f>IFERROR(AVERAGEIFS('Self-Assessment'!D$26:D$316,'Self-Assessment'!H$26:H$316,1,'Self-Assessment'!P$26:P$316,1),"")</f>
        <v/>
      </c>
    </row>
    <row r="16" spans="1:19" ht="33" customHeight="1" thickBot="1">
      <c r="B16" s="27" t="s">
        <v>28</v>
      </c>
      <c r="C16" s="48" t="str">
        <f>IFERROR(AVERAGEIFS('Self-Assessment'!D$26:D$316,'Self-Assessment'!H$26:H$316,1,'Self-Assessment'!Q$26:Q$316,1,'Self-Assessment'!R$26:R$316,1),"")</f>
        <v/>
      </c>
      <c r="D16" s="48" t="str">
        <f>IFERROR(AVERAGEIFS('Self-Assessment'!D$26:D$316,'Self-Assessment'!H$26:H$316,1,'Self-Assessment'!Q$26:Q$316,1,'Self-Assessment'!S$26:S$316,1),"")</f>
        <v/>
      </c>
      <c r="E16" s="48" t="str">
        <f>IFERROR(AVERAGEIFS('Self-Assessment'!D$26:D$316,'Self-Assessment'!H$26:H$316,1,'Self-Assessment'!Q$26:Q$316,1,'Self-Assessment'!T$26:T$316,1),"")</f>
        <v/>
      </c>
      <c r="F16" s="105" t="str">
        <f>IFERROR(AVERAGEIFS('Self-Assessment'!D$26:D$316,'Self-Assessment'!H$26:H$316,1,'Self-Assessment'!Q$26:Q$316,1),"")</f>
        <v/>
      </c>
    </row>
    <row r="17" spans="2:6" ht="33" customHeight="1" thickTop="1" thickBot="1">
      <c r="B17" s="50" t="s">
        <v>208</v>
      </c>
      <c r="C17" s="104" t="str">
        <f>IFERROR(AVERAGEIFS('Self-Assessment'!D$26:D$316,'Self-Assessment'!H$26:H$316,1,'Self-Assessment'!R$26:R$316,1),"")</f>
        <v/>
      </c>
      <c r="D17" s="104" t="str">
        <f>IFERROR(AVERAGEIFS('Self-Assessment'!D$26:D$316,'Self-Assessment'!H$26:H$316,1,'Self-Assessment'!S$26:S$316,1),"")</f>
        <v/>
      </c>
      <c r="E17" s="104" t="str">
        <f>IFERROR(AVERAGEIFS('Self-Assessment'!D$26:D$316,'Self-Assessment'!H$26:H$316,1,'Self-Assessment'!T$26:T$316,1),"")</f>
        <v/>
      </c>
      <c r="F17" s="102" t="str">
        <f>IFERROR(AVERAGEIFS('Self-Assessment'!D$26:D$316,'Self-Assessment'!H$26:H$316,1),"")</f>
        <v/>
      </c>
    </row>
    <row r="18" spans="2:6">
      <c r="B18" s="17"/>
      <c r="C18" s="17"/>
      <c r="D18" s="17"/>
      <c r="E18" s="17"/>
      <c r="F18" s="17"/>
    </row>
    <row r="19" spans="2:6" ht="19">
      <c r="B19" s="19" t="s">
        <v>3</v>
      </c>
      <c r="C19" s="20"/>
      <c r="D19" s="20"/>
      <c r="E19" s="20"/>
      <c r="F19" s="20"/>
    </row>
    <row r="20" spans="2:6" ht="127" customHeight="1">
      <c r="B20" s="200" t="s">
        <v>34</v>
      </c>
      <c r="C20" s="200"/>
      <c r="D20" s="200"/>
      <c r="E20" s="200"/>
      <c r="F20" s="200"/>
    </row>
    <row r="21" spans="2:6">
      <c r="B21" s="20"/>
      <c r="C21" s="20"/>
      <c r="D21" s="20"/>
      <c r="E21" s="20"/>
      <c r="F21" s="20"/>
    </row>
    <row r="22" spans="2:6">
      <c r="B22" s="21"/>
      <c r="C22" s="212" t="s">
        <v>24</v>
      </c>
      <c r="D22" s="212"/>
      <c r="E22" s="212"/>
      <c r="F22" s="22"/>
    </row>
    <row r="23" spans="2:6" ht="32">
      <c r="B23" s="23" t="s">
        <v>15</v>
      </c>
      <c r="C23" s="24" t="s">
        <v>29</v>
      </c>
      <c r="D23" s="24" t="s">
        <v>30</v>
      </c>
      <c r="E23" s="24" t="s">
        <v>31</v>
      </c>
      <c r="F23" s="49" t="s">
        <v>208</v>
      </c>
    </row>
    <row r="24" spans="2:6" ht="33" customHeight="1">
      <c r="B24" s="25" t="s">
        <v>25</v>
      </c>
      <c r="C24" s="46" t="str">
        <f>IFERROR(AVERAGEIFS('Self-Assessment'!D$26:D$316,'Self-Assessment'!I$26:I$316,1,'Self-Assessment'!N$26:N$316,1,'Self-Assessment'!R$26:R$316,1),"")</f>
        <v/>
      </c>
      <c r="D24" s="46" t="str">
        <f>IFERROR(AVERAGEIFS('Self-Assessment'!D$26:D$316,'Self-Assessment'!I$26:I$316,1,'Self-Assessment'!N$26:N$316,1,'Self-Assessment'!S$26:S$316,1),"")</f>
        <v/>
      </c>
      <c r="E24" s="46" t="str">
        <f>IFERROR(AVERAGEIFS('Self-Assessment'!D$26:D$316,'Self-Assessment'!I$26:I$316,1,'Self-Assessment'!N$26:N$316,1,'Self-Assessment'!T$26:T$316,1),"")</f>
        <v/>
      </c>
      <c r="F24" s="103" t="str">
        <f>IFERROR(AVERAGEIFS('Self-Assessment'!D$26:D$316,'Self-Assessment'!I$26:I$316,1,'Self-Assessment'!N$26:N$316,1),"")</f>
        <v/>
      </c>
    </row>
    <row r="25" spans="2:6" ht="33" customHeight="1">
      <c r="B25" s="26" t="s">
        <v>26</v>
      </c>
      <c r="C25" s="47" t="str">
        <f>IFERROR(AVERAGEIFS('Self-Assessment'!D$26:D$316,'Self-Assessment'!I$26:I$316,1,'Self-Assessment'!O$26:O$316,1,'Self-Assessment'!R$26:R$316,1),"")</f>
        <v/>
      </c>
      <c r="D25" s="47" t="str">
        <f>IFERROR(AVERAGEIFS('Self-Assessment'!D$26:D$316,'Self-Assessment'!I$26:I$316,1,'Self-Assessment'!O$26:O$316,1,'Self-Assessment'!S$26:S$316,1),"")</f>
        <v/>
      </c>
      <c r="E25" s="47" t="str">
        <f>IFERROR(AVERAGEIFS('Self-Assessment'!D$26:D$316,'Self-Assessment'!I$26:I$316,1,'Self-Assessment'!O$26:O$316,1,'Self-Assessment'!T$26:T$316,1),"")</f>
        <v/>
      </c>
      <c r="F25" s="104" t="str">
        <f>IFERROR(AVERAGEIFS('Self-Assessment'!D$26:D$316,'Self-Assessment'!I$26:I$316,1,'Self-Assessment'!O$26:O$316,1),"")</f>
        <v/>
      </c>
    </row>
    <row r="26" spans="2:6" ht="33" customHeight="1">
      <c r="B26" s="26" t="s">
        <v>27</v>
      </c>
      <c r="C26" s="47" t="str">
        <f>IFERROR(AVERAGEIFS('Self-Assessment'!D$26:D$316,'Self-Assessment'!I$26:I$316,1,'Self-Assessment'!P$26:P$316,1,'Self-Assessment'!R$26:R$316,1),"")</f>
        <v/>
      </c>
      <c r="D26" s="47" t="str">
        <f>IFERROR(AVERAGEIFS('Self-Assessment'!D$26:D$316,'Self-Assessment'!I$26:I$316,1,'Self-Assessment'!P$26:P$316,1,'Self-Assessment'!S$26:S$316,1),"")</f>
        <v/>
      </c>
      <c r="E26" s="47" t="str">
        <f>IFERROR(AVERAGEIFS('Self-Assessment'!D$26:D$316,'Self-Assessment'!I$26:I$316,1,'Self-Assessment'!P$26:P$316,1,'Self-Assessment'!T$26:T$316,1),"")</f>
        <v/>
      </c>
      <c r="F26" s="104" t="str">
        <f>IFERROR(AVERAGEIFS('Self-Assessment'!D$26:D$316,'Self-Assessment'!I$26:I$316,1,'Self-Assessment'!P$26:P$316,1),"")</f>
        <v/>
      </c>
    </row>
    <row r="27" spans="2:6" ht="33" customHeight="1" thickBot="1">
      <c r="B27" s="27" t="s">
        <v>28</v>
      </c>
      <c r="C27" s="48" t="str">
        <f>IFERROR(AVERAGEIFS('Self-Assessment'!D$26:D$316,'Self-Assessment'!I$26:I$316,1,'Self-Assessment'!Q$26:Q$316,1,'Self-Assessment'!R$26:R$316,1),"")</f>
        <v/>
      </c>
      <c r="D27" s="48" t="str">
        <f>IFERROR(AVERAGEIFS('Self-Assessment'!D$26:D$316,'Self-Assessment'!I$26:I$316,1,'Self-Assessment'!Q$26:Q$316,1,'Self-Assessment'!S$26:S$316,1),"")</f>
        <v/>
      </c>
      <c r="E27" s="48" t="str">
        <f>IFERROR(AVERAGEIFS('Self-Assessment'!D$26:D$316,'Self-Assessment'!I$26:I$316,1,'Self-Assessment'!Q$26:Q$316,1,'Self-Assessment'!T$26:T$316,1),"")</f>
        <v/>
      </c>
      <c r="F27" s="105" t="str">
        <f>IFERROR(AVERAGEIFS('Self-Assessment'!D$26:D$316,'Self-Assessment'!I$26:I$316,1,'Self-Assessment'!Q$26:Q$316,1),"")</f>
        <v/>
      </c>
    </row>
    <row r="28" spans="2:6" ht="33" customHeight="1" thickTop="1" thickBot="1">
      <c r="B28" s="50" t="s">
        <v>208</v>
      </c>
      <c r="C28" s="104" t="str">
        <f>IFERROR(AVERAGEIFS('Self-Assessment'!D$26:D$316,'Self-Assessment'!I$26:I$316,1,'Self-Assessment'!R$26:R$316,1),"")</f>
        <v/>
      </c>
      <c r="D28" s="104" t="str">
        <f>IFERROR(AVERAGEIFS('Self-Assessment'!D$26:D$316,'Self-Assessment'!I$26:I$316,1,'Self-Assessment'!S$26:S$316,1),"")</f>
        <v/>
      </c>
      <c r="E28" s="104" t="str">
        <f>IFERROR(AVERAGEIFS('Self-Assessment'!D$26:D$316,'Self-Assessment'!I$26:I$316,1,'Self-Assessment'!T$26:T$316,1),"")</f>
        <v/>
      </c>
      <c r="F28" s="102" t="str">
        <f>IFERROR(AVERAGEIFS('Self-Assessment'!D$26:D$316,'Self-Assessment'!I$26:I$316,1),"")</f>
        <v/>
      </c>
    </row>
    <row r="29" spans="2:6">
      <c r="B29" s="17"/>
      <c r="C29" s="17"/>
      <c r="D29" s="17"/>
      <c r="E29" s="17"/>
      <c r="F29" s="17"/>
    </row>
    <row r="30" spans="2:6">
      <c r="B30" s="17" t="str">
        <f>"EQuiPD Self-Assessment Scores: "&amp;IF('Self-Assessment'!$D$20="Not listed",'Self-Assessment'!$D$21,'Self-Assessment'!$D$20)&amp;" "&amp;'Self-Assessment'!D$23</f>
        <v xml:space="preserve">EQuiPD Self-Assessment Scores:  </v>
      </c>
      <c r="C30" s="17"/>
      <c r="D30" s="17"/>
      <c r="E30" s="17"/>
      <c r="F30" s="17"/>
    </row>
    <row r="31" spans="2:6" ht="19">
      <c r="B31" s="19" t="s">
        <v>4</v>
      </c>
      <c r="C31" s="20"/>
      <c r="D31" s="20"/>
      <c r="E31" s="20"/>
      <c r="F31" s="20"/>
    </row>
    <row r="32" spans="2:6" ht="155" customHeight="1">
      <c r="B32" s="200" t="s">
        <v>35</v>
      </c>
      <c r="C32" s="200"/>
      <c r="D32" s="200"/>
      <c r="E32" s="200"/>
      <c r="F32" s="200"/>
    </row>
    <row r="33" spans="2:6">
      <c r="B33" s="20"/>
      <c r="C33" s="20"/>
      <c r="D33" s="20"/>
      <c r="E33" s="20"/>
      <c r="F33" s="20"/>
    </row>
    <row r="34" spans="2:6">
      <c r="B34" s="21"/>
      <c r="C34" s="212" t="s">
        <v>24</v>
      </c>
      <c r="D34" s="212"/>
      <c r="E34" s="212"/>
      <c r="F34" s="22"/>
    </row>
    <row r="35" spans="2:6" ht="32">
      <c r="B35" s="23" t="s">
        <v>15</v>
      </c>
      <c r="C35" s="24" t="s">
        <v>29</v>
      </c>
      <c r="D35" s="24" t="s">
        <v>30</v>
      </c>
      <c r="E35" s="24" t="s">
        <v>31</v>
      </c>
      <c r="F35" s="49" t="s">
        <v>208</v>
      </c>
    </row>
    <row r="36" spans="2:6" ht="33" customHeight="1">
      <c r="B36" s="25" t="s">
        <v>25</v>
      </c>
      <c r="C36" s="46" t="str">
        <f>IFERROR(AVERAGEIFS('Self-Assessment'!D$26:D$316,'Self-Assessment'!J$26:J$316,1,'Self-Assessment'!N$26:N$316,1,'Self-Assessment'!R$26:R$316,1),"")</f>
        <v/>
      </c>
      <c r="D36" s="46" t="str">
        <f>IFERROR(AVERAGEIFS('Self-Assessment'!D$26:D$316,'Self-Assessment'!J$26:J$316,1,'Self-Assessment'!N$26:N$316,1,'Self-Assessment'!S$26:S$316,1),"")</f>
        <v/>
      </c>
      <c r="E36" s="46" t="str">
        <f>IFERROR(AVERAGEIFS('Self-Assessment'!D$26:D$316,'Self-Assessment'!J$26:J$316,1,'Self-Assessment'!N$26:N$316,1,'Self-Assessment'!T$26:T$316,1),"")</f>
        <v/>
      </c>
      <c r="F36" s="103" t="str">
        <f>IFERROR(AVERAGEIFS('Self-Assessment'!D$26:D$316,'Self-Assessment'!J$26:J$316,1,'Self-Assessment'!N$26:N$316,1),"")</f>
        <v/>
      </c>
    </row>
    <row r="37" spans="2:6" ht="33" customHeight="1">
      <c r="B37" s="26" t="s">
        <v>26</v>
      </c>
      <c r="C37" s="47" t="str">
        <f>IFERROR(AVERAGEIFS('Self-Assessment'!D$26:D$316,'Self-Assessment'!J$26:J$316,1,'Self-Assessment'!O$26:O$316,1,'Self-Assessment'!R$26:R$316,1),"")</f>
        <v/>
      </c>
      <c r="D37" s="47" t="str">
        <f>IFERROR(AVERAGEIFS('Self-Assessment'!D$26:D$316,'Self-Assessment'!J$26:J$316,1,'Self-Assessment'!O$26:O$316,1,'Self-Assessment'!S$26:S$316,1),"")</f>
        <v/>
      </c>
      <c r="E37" s="47" t="str">
        <f>IFERROR(AVERAGEIFS('Self-Assessment'!D$26:D$316,'Self-Assessment'!J$26:J$316,1,'Self-Assessment'!O$26:O$316,1,'Self-Assessment'!T$26:T$316,1),"")</f>
        <v/>
      </c>
      <c r="F37" s="104" t="str">
        <f>IFERROR(AVERAGEIFS('Self-Assessment'!D$26:D$316,'Self-Assessment'!J$26:J$316,1,'Self-Assessment'!O$26:O$316,1),"")</f>
        <v/>
      </c>
    </row>
    <row r="38" spans="2:6" ht="33" customHeight="1">
      <c r="B38" s="26" t="s">
        <v>27</v>
      </c>
      <c r="C38" s="47" t="str">
        <f>IFERROR(AVERAGEIFS('Self-Assessment'!D$26:D$316,'Self-Assessment'!J$26:J$316,1,'Self-Assessment'!P$26:P$316,1,'Self-Assessment'!R$26:R$316,1),"")</f>
        <v/>
      </c>
      <c r="D38" s="47" t="str">
        <f>IFERROR(AVERAGEIFS('Self-Assessment'!D$26:D$316,'Self-Assessment'!J$26:J$316,1,'Self-Assessment'!P$26:P$316,1,'Self-Assessment'!S$26:S$316,1),"")</f>
        <v/>
      </c>
      <c r="E38" s="47" t="str">
        <f>IFERROR(AVERAGEIFS('Self-Assessment'!D$26:D$316,'Self-Assessment'!J$26:J$316,1,'Self-Assessment'!P$26:P$316,1,'Self-Assessment'!T$26:T$316,1),"")</f>
        <v/>
      </c>
      <c r="F38" s="104" t="str">
        <f>IFERROR(AVERAGEIFS('Self-Assessment'!D$26:D$316,'Self-Assessment'!J$26:J$316,1,'Self-Assessment'!P$26:P$316,1),"")</f>
        <v/>
      </c>
    </row>
    <row r="39" spans="2:6" ht="33" customHeight="1" thickBot="1">
      <c r="B39" s="27" t="s">
        <v>28</v>
      </c>
      <c r="C39" s="48" t="str">
        <f>IFERROR(AVERAGEIFS('Self-Assessment'!D$26:D$316,'Self-Assessment'!J$26:J$316,1,'Self-Assessment'!Q$26:Q$316,1,'Self-Assessment'!R$26:R$316,1),"")</f>
        <v/>
      </c>
      <c r="D39" s="48" t="str">
        <f>IFERROR(AVERAGEIFS('Self-Assessment'!D$26:D$316,'Self-Assessment'!J$26:J$316,1,'Self-Assessment'!Q$26:Q$316,1,'Self-Assessment'!S$26:S$316,1),"")</f>
        <v/>
      </c>
      <c r="E39" s="48" t="str">
        <f>IFERROR(AVERAGEIFS('Self-Assessment'!D$26:D$316,'Self-Assessment'!J$26:J$316,1,'Self-Assessment'!Q$26:Q$316,1,'Self-Assessment'!T$26:T$316,1),"")</f>
        <v/>
      </c>
      <c r="F39" s="105" t="str">
        <f>IFERROR(AVERAGEIFS('Self-Assessment'!D$26:D$316,'Self-Assessment'!J$26:J$316,1,'Self-Assessment'!Q$26:Q$316,1),"")</f>
        <v/>
      </c>
    </row>
    <row r="40" spans="2:6" ht="33" customHeight="1" thickTop="1" thickBot="1">
      <c r="B40" s="50" t="s">
        <v>208</v>
      </c>
      <c r="C40" s="104" t="str">
        <f>IFERROR(AVERAGEIFS('Self-Assessment'!D$26:D$316,'Self-Assessment'!J$26:J$316,1,'Self-Assessment'!R$26:R$316,1),"")</f>
        <v/>
      </c>
      <c r="D40" s="104" t="str">
        <f>IFERROR(AVERAGEIFS('Self-Assessment'!D$26:D$316,'Self-Assessment'!J$26:J$316,1,'Self-Assessment'!S$26:S$316,1),"")</f>
        <v/>
      </c>
      <c r="E40" s="104" t="str">
        <f>IFERROR(AVERAGEIFS('Self-Assessment'!D$26:D$316,'Self-Assessment'!J$26:J$316,1,'Self-Assessment'!T$26:T$316,1),"")</f>
        <v/>
      </c>
      <c r="F40" s="102" t="str">
        <f>IFERROR(AVERAGEIFS('Self-Assessment'!D$26:D$316,'Self-Assessment'!J$26:J$316,1),"")</f>
        <v/>
      </c>
    </row>
    <row r="41" spans="2:6">
      <c r="B41" s="17"/>
      <c r="C41" s="17"/>
      <c r="D41" s="17"/>
      <c r="E41" s="17"/>
      <c r="F41" s="17"/>
    </row>
    <row r="42" spans="2:6" ht="19">
      <c r="B42" s="19" t="s">
        <v>56</v>
      </c>
      <c r="C42" s="20"/>
      <c r="D42" s="20"/>
      <c r="E42" s="20"/>
      <c r="F42" s="20"/>
    </row>
    <row r="43" spans="2:6" ht="156" customHeight="1">
      <c r="B43" s="200" t="s">
        <v>38</v>
      </c>
      <c r="C43" s="200"/>
      <c r="D43" s="200"/>
      <c r="E43" s="200"/>
      <c r="F43" s="200"/>
    </row>
    <row r="44" spans="2:6">
      <c r="B44" s="20"/>
      <c r="C44" s="20"/>
      <c r="D44" s="20"/>
      <c r="E44" s="20"/>
      <c r="F44" s="20"/>
    </row>
    <row r="45" spans="2:6">
      <c r="B45" s="21"/>
      <c r="C45" s="212" t="s">
        <v>24</v>
      </c>
      <c r="D45" s="212"/>
      <c r="E45" s="212"/>
      <c r="F45" s="22"/>
    </row>
    <row r="46" spans="2:6" ht="32">
      <c r="B46" s="23" t="s">
        <v>15</v>
      </c>
      <c r="C46" s="24" t="s">
        <v>29</v>
      </c>
      <c r="D46" s="24" t="s">
        <v>30</v>
      </c>
      <c r="E46" s="24" t="s">
        <v>31</v>
      </c>
      <c r="F46" s="49" t="s">
        <v>208</v>
      </c>
    </row>
    <row r="47" spans="2:6" ht="33" customHeight="1">
      <c r="B47" s="25" t="s">
        <v>25</v>
      </c>
      <c r="C47" s="46" t="str">
        <f>IFERROR(AVERAGEIFS('Self-Assessment'!D$26:D$316,'Self-Assessment'!K$26:K$316,1,'Self-Assessment'!N$26:N$316,1,'Self-Assessment'!R$26:R$316,1),"")</f>
        <v/>
      </c>
      <c r="D47" s="46" t="str">
        <f>IFERROR(AVERAGEIFS('Self-Assessment'!D$26:D$316,'Self-Assessment'!K$26:K$316,1,'Self-Assessment'!N$26:N$316,1,'Self-Assessment'!S$26:S$316,1),"")</f>
        <v/>
      </c>
      <c r="E47" s="46" t="str">
        <f>IFERROR(AVERAGEIFS('Self-Assessment'!D$26:D$316,'Self-Assessment'!K$26:K$316,1,'Self-Assessment'!N$26:N$316,1,'Self-Assessment'!T$26:T$316,1),"")</f>
        <v/>
      </c>
      <c r="F47" s="103" t="str">
        <f>IFERROR(AVERAGEIFS('Self-Assessment'!D$26:D$316,'Self-Assessment'!K$26:K$316,1,'Self-Assessment'!N$26:N$316,1),"")</f>
        <v/>
      </c>
    </row>
    <row r="48" spans="2:6" ht="33" customHeight="1">
      <c r="B48" s="26" t="s">
        <v>26</v>
      </c>
      <c r="C48" s="47" t="str">
        <f>IFERROR(AVERAGEIFS('Self-Assessment'!D$26:D$316,'Self-Assessment'!K$26:K$316,1,'Self-Assessment'!O$26:O$316,1,'Self-Assessment'!R$26:R$316,1),"")</f>
        <v/>
      </c>
      <c r="D48" s="47" t="str">
        <f>IFERROR(AVERAGEIFS('Self-Assessment'!D$26:D$316,'Self-Assessment'!K$26:K$316,1,'Self-Assessment'!O$26:O$316,1,'Self-Assessment'!S$26:S$316,1),"")</f>
        <v/>
      </c>
      <c r="E48" s="47" t="str">
        <f>IFERROR(AVERAGEIFS('Self-Assessment'!D$26:D$316,'Self-Assessment'!K$26:K$316,1,'Self-Assessment'!O$26:O$316,1,'Self-Assessment'!T$26:T$316,1),"")</f>
        <v/>
      </c>
      <c r="F48" s="104" t="str">
        <f>IFERROR(AVERAGEIFS('Self-Assessment'!D$26:D$316,'Self-Assessment'!K$26:K$316,1,'Self-Assessment'!O$26:O$316,1),"")</f>
        <v/>
      </c>
    </row>
    <row r="49" spans="2:6" ht="33" customHeight="1">
      <c r="B49" s="26" t="s">
        <v>27</v>
      </c>
      <c r="C49" s="47" t="str">
        <f>IFERROR(AVERAGEIFS('Self-Assessment'!D$26:D$316,'Self-Assessment'!K$26:K$316,1,'Self-Assessment'!P$26:P$316,1,'Self-Assessment'!R$26:R$316,1),"")</f>
        <v/>
      </c>
      <c r="D49" s="47" t="str">
        <f>IFERROR(AVERAGEIFS('Self-Assessment'!D$26:D$316,'Self-Assessment'!K$26:K$316,1,'Self-Assessment'!P$26:P$316,1,'Self-Assessment'!S$26:S$316,1),"")</f>
        <v/>
      </c>
      <c r="E49" s="47" t="str">
        <f>IFERROR(AVERAGEIFS('Self-Assessment'!D$26:D$316,'Self-Assessment'!K$26:K$316,1,'Self-Assessment'!P$26:P$316,1,'Self-Assessment'!T$26:T$316,1),"")</f>
        <v/>
      </c>
      <c r="F49" s="104" t="str">
        <f>IFERROR(AVERAGEIFS('Self-Assessment'!D$26:D$316,'Self-Assessment'!K$26:K$316,1,'Self-Assessment'!P$26:P$316,1),"")</f>
        <v/>
      </c>
    </row>
    <row r="50" spans="2:6" ht="33" customHeight="1" thickBot="1">
      <c r="B50" s="27" t="s">
        <v>28</v>
      </c>
      <c r="C50" s="48" t="str">
        <f>IFERROR(AVERAGEIFS('Self-Assessment'!D$26:D$316,'Self-Assessment'!K$26:K$316,1,'Self-Assessment'!Q$26:Q$316,1,'Self-Assessment'!R$26:R$316,1),"")</f>
        <v/>
      </c>
      <c r="D50" s="48" t="str">
        <f>IFERROR(AVERAGEIFS('Self-Assessment'!D$26:D$316,'Self-Assessment'!K$26:K$316,1,'Self-Assessment'!Q$26:Q$316,1,'Self-Assessment'!S$26:S$316,1),"")</f>
        <v/>
      </c>
      <c r="E50" s="48" t="str">
        <f>IFERROR(AVERAGEIFS('Self-Assessment'!D$26:D$316,'Self-Assessment'!K$26:K$316,1,'Self-Assessment'!Q$26:Q$316,1,'Self-Assessment'!T$26:T$316,1),"")</f>
        <v/>
      </c>
      <c r="F50" s="105" t="str">
        <f>IFERROR(AVERAGEIFS('Self-Assessment'!D$26:D$316,'Self-Assessment'!K$26:K$316,1,'Self-Assessment'!Q$26:Q$316,1),"")</f>
        <v/>
      </c>
    </row>
    <row r="51" spans="2:6" ht="33" customHeight="1" thickTop="1" thickBot="1">
      <c r="B51" s="50" t="s">
        <v>208</v>
      </c>
      <c r="C51" s="104" t="str">
        <f>IFERROR(AVERAGEIFS('Self-Assessment'!D$26:D$316,'Self-Assessment'!K$26:K$316,1,'Self-Assessment'!R$26:R$316,1),"")</f>
        <v/>
      </c>
      <c r="D51" s="104" t="str">
        <f>IFERROR(AVERAGEIFS('Self-Assessment'!D$26:D$316,'Self-Assessment'!K$26:K$316,1,'Self-Assessment'!S$26:S$316,1),"")</f>
        <v/>
      </c>
      <c r="E51" s="104" t="str">
        <f>IFERROR(AVERAGEIFS('Self-Assessment'!D$26:D$316,'Self-Assessment'!K$26:K$316,1,'Self-Assessment'!T$26:T$316,1),"")</f>
        <v/>
      </c>
      <c r="F51" s="102" t="str">
        <f>IFERROR(AVERAGEIFS('Self-Assessment'!D$26:D$316,'Self-Assessment'!K$26:K$316,1),"")</f>
        <v/>
      </c>
    </row>
    <row r="52" spans="2:6">
      <c r="B52" s="17"/>
      <c r="C52" s="17"/>
      <c r="D52" s="17"/>
      <c r="E52" s="17"/>
      <c r="F52" s="17"/>
    </row>
    <row r="53" spans="2:6">
      <c r="B53" s="17" t="str">
        <f>"EQuiPD Self-Assessment Scores: "&amp;IF('Self-Assessment'!$D$20="Not listed",'Self-Assessment'!$D$21,'Self-Assessment'!$D$20)&amp;" "&amp;'Self-Assessment'!D$23</f>
        <v xml:space="preserve">EQuiPD Self-Assessment Scores:  </v>
      </c>
      <c r="C53" s="17"/>
      <c r="D53" s="17"/>
      <c r="E53" s="17"/>
      <c r="F53" s="17"/>
    </row>
    <row r="54" spans="2:6" ht="19">
      <c r="B54" s="19" t="s">
        <v>5</v>
      </c>
      <c r="C54" s="20"/>
      <c r="D54" s="20"/>
      <c r="E54" s="20"/>
      <c r="F54" s="20"/>
    </row>
    <row r="55" spans="2:6" ht="156" customHeight="1">
      <c r="B55" s="200" t="s">
        <v>36</v>
      </c>
      <c r="C55" s="200"/>
      <c r="D55" s="200"/>
      <c r="E55" s="200"/>
      <c r="F55" s="200"/>
    </row>
    <row r="56" spans="2:6">
      <c r="B56" s="20"/>
      <c r="C56" s="20"/>
      <c r="D56" s="20"/>
      <c r="E56" s="20"/>
      <c r="F56" s="20"/>
    </row>
    <row r="57" spans="2:6">
      <c r="B57" s="21"/>
      <c r="C57" s="212" t="s">
        <v>24</v>
      </c>
      <c r="D57" s="212"/>
      <c r="E57" s="212"/>
      <c r="F57" s="22"/>
    </row>
    <row r="58" spans="2:6" ht="32">
      <c r="B58" s="23" t="s">
        <v>15</v>
      </c>
      <c r="C58" s="24" t="s">
        <v>29</v>
      </c>
      <c r="D58" s="24" t="s">
        <v>30</v>
      </c>
      <c r="E58" s="24" t="s">
        <v>31</v>
      </c>
      <c r="F58" s="49" t="s">
        <v>208</v>
      </c>
    </row>
    <row r="59" spans="2:6" ht="33" customHeight="1">
      <c r="B59" s="25" t="s">
        <v>25</v>
      </c>
      <c r="C59" s="46" t="str">
        <f>IFERROR(AVERAGEIFS('Self-Assessment'!D$26:D$316,'Self-Assessment'!L$26:L$316,1,'Self-Assessment'!N$26:N$316,1,'Self-Assessment'!R$26:R$316,1),"")</f>
        <v/>
      </c>
      <c r="D59" s="46" t="str">
        <f>IFERROR(AVERAGEIFS('Self-Assessment'!D$26:D$316,'Self-Assessment'!L$26:L$316,1,'Self-Assessment'!N$26:N$316,1,'Self-Assessment'!S$26:S$316,1),"")</f>
        <v/>
      </c>
      <c r="E59" s="46" t="str">
        <f>IFERROR(AVERAGEIFS('Self-Assessment'!D$26:D$316,'Self-Assessment'!L$26:L$316,1,'Self-Assessment'!N$26:N$316,1,'Self-Assessment'!T$26:T$316,1),"")</f>
        <v/>
      </c>
      <c r="F59" s="103" t="str">
        <f>IFERROR(AVERAGEIFS('Self-Assessment'!D$26:D$316,'Self-Assessment'!L$26:L$316,1,'Self-Assessment'!N$26:N$316,1),"")</f>
        <v/>
      </c>
    </row>
    <row r="60" spans="2:6" ht="33" customHeight="1">
      <c r="B60" s="26" t="s">
        <v>26</v>
      </c>
      <c r="C60" s="47" t="str">
        <f>IFERROR(AVERAGEIFS('Self-Assessment'!D$26:D$316,'Self-Assessment'!L$26:L$316,1,'Self-Assessment'!O$26:O$316,1,'Self-Assessment'!R$26:R$316,1),"")</f>
        <v/>
      </c>
      <c r="D60" s="47" t="str">
        <f>IFERROR(AVERAGEIFS('Self-Assessment'!D$26:D$316,'Self-Assessment'!L$26:L$316,1,'Self-Assessment'!O$26:O$316,1,'Self-Assessment'!S$26:S$316,1),"")</f>
        <v/>
      </c>
      <c r="E60" s="47" t="str">
        <f>IFERROR(AVERAGEIFS('Self-Assessment'!D$26:D$316,'Self-Assessment'!L$26:L$316,1,'Self-Assessment'!O$26:O$316,1,'Self-Assessment'!T$26:T$316,1),"")</f>
        <v/>
      </c>
      <c r="F60" s="104" t="str">
        <f>IFERROR(AVERAGEIFS('Self-Assessment'!D$26:D$316,'Self-Assessment'!L$26:L$316,1,'Self-Assessment'!O$26:O$316,1),"")</f>
        <v/>
      </c>
    </row>
    <row r="61" spans="2:6" ht="33" customHeight="1">
      <c r="B61" s="26" t="s">
        <v>27</v>
      </c>
      <c r="C61" s="47" t="str">
        <f>IFERROR(AVERAGEIFS('Self-Assessment'!D$26:D$316,'Self-Assessment'!L$26:L$316,1,'Self-Assessment'!P$26:P$316,1,'Self-Assessment'!R$26:R$316,1),"")</f>
        <v/>
      </c>
      <c r="D61" s="47" t="str">
        <f>IFERROR(AVERAGEIFS('Self-Assessment'!D$26:D$316,'Self-Assessment'!L$26:L$316,1,'Self-Assessment'!P$26:P$316,1,'Self-Assessment'!S$26:S$316,1),"")</f>
        <v/>
      </c>
      <c r="E61" s="47" t="str">
        <f>IFERROR(AVERAGEIFS('Self-Assessment'!D$26:D$316,'Self-Assessment'!L$26:L$316,1,'Self-Assessment'!P$26:P$316,1,'Self-Assessment'!T$26:T$316,1),"")</f>
        <v/>
      </c>
      <c r="F61" s="104" t="str">
        <f>IFERROR(AVERAGEIFS('Self-Assessment'!D$26:D$316,'Self-Assessment'!L$26:L$316,1,'Self-Assessment'!P$26:P$316,1),"")</f>
        <v/>
      </c>
    </row>
    <row r="62" spans="2:6" ht="33" customHeight="1" thickBot="1">
      <c r="B62" s="27" t="s">
        <v>28</v>
      </c>
      <c r="C62" s="48" t="str">
        <f>IFERROR(AVERAGEIFS('Self-Assessment'!D$26:D$316,'Self-Assessment'!L$26:L$316,1,'Self-Assessment'!Q$26:Q$316,1,'Self-Assessment'!R$26:R$316,1),"")</f>
        <v/>
      </c>
      <c r="D62" s="48" t="str">
        <f>IFERROR(AVERAGEIFS('Self-Assessment'!D$26:D$316,'Self-Assessment'!L$26:L$316,1,'Self-Assessment'!Q$26:Q$316,1,'Self-Assessment'!S$26:S$316,1),"")</f>
        <v/>
      </c>
      <c r="E62" s="48" t="str">
        <f>IFERROR(AVERAGEIFS('Self-Assessment'!D$26:D$316,'Self-Assessment'!L$26:L$316,1,'Self-Assessment'!Q$26:Q$316,1,'Self-Assessment'!T$26:T$316,1),"")</f>
        <v/>
      </c>
      <c r="F62" s="105" t="str">
        <f>IFERROR(AVERAGEIFS('Self-Assessment'!D$26:D$316,'Self-Assessment'!L$26:L$316,1,'Self-Assessment'!Q$26:Q$316,1),"")</f>
        <v/>
      </c>
    </row>
    <row r="63" spans="2:6" ht="33" customHeight="1" thickTop="1" thickBot="1">
      <c r="B63" s="50" t="s">
        <v>208</v>
      </c>
      <c r="C63" s="104" t="str">
        <f>IFERROR(AVERAGEIFS('Self-Assessment'!D$26:D$316,'Self-Assessment'!L$26:L$316,1,'Self-Assessment'!R$26:R$316,1),"")</f>
        <v/>
      </c>
      <c r="D63" s="104" t="str">
        <f>IFERROR(AVERAGEIFS('Self-Assessment'!D$26:D$316,'Self-Assessment'!L$26:L$316,1,'Self-Assessment'!S$26:S$316,1),"")</f>
        <v/>
      </c>
      <c r="E63" s="104" t="str">
        <f>IFERROR(AVERAGEIFS('Self-Assessment'!D$26:D$316,'Self-Assessment'!L$26:L$316,1,'Self-Assessment'!T$26:T$316,1),"")</f>
        <v/>
      </c>
      <c r="F63" s="102" t="str">
        <f>IFERROR(AVERAGEIFS('Self-Assessment'!D$26:D$316,'Self-Assessment'!L$26:L$316,1),"")</f>
        <v/>
      </c>
    </row>
    <row r="64" spans="2:6">
      <c r="B64" s="17"/>
      <c r="C64" s="17"/>
      <c r="D64" s="17"/>
      <c r="E64" s="17"/>
      <c r="F64" s="17"/>
    </row>
    <row r="65" spans="2:6" ht="19">
      <c r="B65" s="19" t="s">
        <v>6</v>
      </c>
      <c r="C65" s="20"/>
      <c r="D65" s="20"/>
      <c r="E65" s="20"/>
      <c r="F65" s="20"/>
    </row>
    <row r="66" spans="2:6" ht="152" customHeight="1">
      <c r="B66" s="200" t="s">
        <v>37</v>
      </c>
      <c r="C66" s="200"/>
      <c r="D66" s="200"/>
      <c r="E66" s="200"/>
      <c r="F66" s="200"/>
    </row>
    <row r="67" spans="2:6">
      <c r="B67" s="20"/>
      <c r="C67" s="20"/>
      <c r="D67" s="20"/>
      <c r="E67" s="20"/>
      <c r="F67" s="20"/>
    </row>
    <row r="68" spans="2:6">
      <c r="B68" s="21"/>
      <c r="C68" s="212" t="s">
        <v>24</v>
      </c>
      <c r="D68" s="212"/>
      <c r="E68" s="212"/>
      <c r="F68" s="22"/>
    </row>
    <row r="69" spans="2:6" ht="32">
      <c r="B69" s="23" t="s">
        <v>15</v>
      </c>
      <c r="C69" s="24" t="s">
        <v>29</v>
      </c>
      <c r="D69" s="24" t="s">
        <v>30</v>
      </c>
      <c r="E69" s="24" t="s">
        <v>31</v>
      </c>
      <c r="F69" s="49" t="s">
        <v>208</v>
      </c>
    </row>
    <row r="70" spans="2:6" ht="33" customHeight="1">
      <c r="B70" s="25" t="s">
        <v>25</v>
      </c>
      <c r="C70" s="46" t="str">
        <f>IFERROR(AVERAGEIFS('Self-Assessment'!D$26:D$316,'Self-Assessment'!M$26:M$316,1,'Self-Assessment'!N$26:N$316,1,'Self-Assessment'!R$26:R$316,1),"")</f>
        <v/>
      </c>
      <c r="D70" s="46" t="str">
        <f>IFERROR(AVERAGEIFS('Self-Assessment'!D$26:D$316,'Self-Assessment'!M$26:M$316,1,'Self-Assessment'!N$26:N$316,1,'Self-Assessment'!S$26:S$316,1),"")</f>
        <v/>
      </c>
      <c r="E70" s="46" t="str">
        <f>IFERROR(AVERAGEIFS('Self-Assessment'!D$26:D$316,'Self-Assessment'!M$26:M$316,1,'Self-Assessment'!N$26:N$316,1,'Self-Assessment'!T$26:T$316,1),"")</f>
        <v/>
      </c>
      <c r="F70" s="103" t="str">
        <f>IFERROR(AVERAGEIFS('Self-Assessment'!D$26:D$316,'Self-Assessment'!M$26:M$316,1,'Self-Assessment'!N$26:N$316,1),"")</f>
        <v/>
      </c>
    </row>
    <row r="71" spans="2:6" ht="33" customHeight="1">
      <c r="B71" s="26" t="s">
        <v>26</v>
      </c>
      <c r="C71" s="47" t="str">
        <f>IFERROR(AVERAGEIFS('Self-Assessment'!D$26:D$316,'Self-Assessment'!M$26:M$316,1,'Self-Assessment'!O$26:O$316,1,'Self-Assessment'!R$26:R$316,1),"")</f>
        <v/>
      </c>
      <c r="D71" s="47" t="str">
        <f>IFERROR(AVERAGEIFS('Self-Assessment'!D$26:D$316,'Self-Assessment'!M$26:M$316,1,'Self-Assessment'!O$26:O$316,1,'Self-Assessment'!S$26:S$316,1),"")</f>
        <v/>
      </c>
      <c r="E71" s="47" t="str">
        <f>IFERROR(AVERAGEIFS('Self-Assessment'!D$26:D$316,'Self-Assessment'!M$26:M$316,1,'Self-Assessment'!O$26:O$316,1,'Self-Assessment'!T$26:T$316,1),"")</f>
        <v/>
      </c>
      <c r="F71" s="104" t="str">
        <f>IFERROR(AVERAGEIFS('Self-Assessment'!D$26:D$316,'Self-Assessment'!M$26:M$316,1,'Self-Assessment'!O$26:O$316,1),"")</f>
        <v/>
      </c>
    </row>
    <row r="72" spans="2:6" ht="33" customHeight="1">
      <c r="B72" s="26" t="s">
        <v>27</v>
      </c>
      <c r="C72" s="47" t="str">
        <f>IFERROR(AVERAGEIFS('Self-Assessment'!D$26:D$316,'Self-Assessment'!M$26:M$316,1,'Self-Assessment'!P$26:P$316,1,'Self-Assessment'!R$26:R$316,1),"")</f>
        <v/>
      </c>
      <c r="D72" s="47" t="str">
        <f>IFERROR(AVERAGEIFS('Self-Assessment'!D$26:D$316,'Self-Assessment'!M$26:M$316,1,'Self-Assessment'!P$26:P$316,1,'Self-Assessment'!S$26:S$316,1),"")</f>
        <v/>
      </c>
      <c r="E72" s="47" t="str">
        <f>IFERROR(AVERAGEIFS('Self-Assessment'!D$26:D$316,'Self-Assessment'!M$26:M$316,1,'Self-Assessment'!P$26:P$316,1,'Self-Assessment'!T$26:T$316,1),"")</f>
        <v/>
      </c>
      <c r="F72" s="104" t="str">
        <f>IFERROR(AVERAGEIFS('Self-Assessment'!D$26:D$316,'Self-Assessment'!M$26:M$316,1,'Self-Assessment'!P$26:P$316,1),"")</f>
        <v/>
      </c>
    </row>
    <row r="73" spans="2:6" ht="33" customHeight="1" thickBot="1">
      <c r="B73" s="27" t="s">
        <v>28</v>
      </c>
      <c r="C73" s="48" t="str">
        <f>IFERROR(AVERAGEIFS('Self-Assessment'!D$26:D$316,'Self-Assessment'!M$26:M$316,1,'Self-Assessment'!Q$26:Q$316,1,'Self-Assessment'!R$26:R$316,1),"")</f>
        <v/>
      </c>
      <c r="D73" s="48" t="str">
        <f>IFERROR(AVERAGEIFS('Self-Assessment'!D$26:D$316,'Self-Assessment'!M$26:M$316,1,'Self-Assessment'!Q$26:Q$316,1,'Self-Assessment'!S$26:S$316,1),"")</f>
        <v/>
      </c>
      <c r="E73" s="48" t="str">
        <f>IFERROR(AVERAGEIFS('Self-Assessment'!D$26:D$316,'Self-Assessment'!M$26:M$316,1,'Self-Assessment'!Q$26:Q$316,1,'Self-Assessment'!T$26:T$316,1),"")</f>
        <v/>
      </c>
      <c r="F73" s="105" t="str">
        <f>IFERROR(AVERAGEIFS('Self-Assessment'!D$26:D$316,'Self-Assessment'!M$26:M$316,1,'Self-Assessment'!Q$26:Q$316,1),"")</f>
        <v/>
      </c>
    </row>
    <row r="74" spans="2:6" ht="33" customHeight="1" thickTop="1" thickBot="1">
      <c r="B74" s="50" t="s">
        <v>208</v>
      </c>
      <c r="C74" s="104" t="str">
        <f>IFERROR(AVERAGEIFS('Self-Assessment'!D$26:D$316,'Self-Assessment'!M$26:M$316,1,'Self-Assessment'!R$26:R$316,1),"")</f>
        <v/>
      </c>
      <c r="D74" s="104" t="str">
        <f>IFERROR(AVERAGEIFS('Self-Assessment'!D$26:D$316,'Self-Assessment'!M$26:M$316,1,'Self-Assessment'!S$26:S$316,1),"")</f>
        <v/>
      </c>
      <c r="E74" s="104" t="str">
        <f>IFERROR(AVERAGEIFS('Self-Assessment'!D$26:D$316,'Self-Assessment'!M$26:M$316,1,'Self-Assessment'!T$26:T$316,1),"")</f>
        <v/>
      </c>
      <c r="F74" s="102" t="str">
        <f>IFERROR(AVERAGEIFS('Self-Assessment'!D$26:D$316,'Self-Assessment'!M$26:M$316,1),"")</f>
        <v/>
      </c>
    </row>
    <row r="75" spans="2:6">
      <c r="B75" s="17"/>
      <c r="C75" s="17"/>
      <c r="D75" s="17"/>
      <c r="E75" s="17"/>
      <c r="F75" s="17"/>
    </row>
  </sheetData>
  <sheetProtection sheet="1" objects="1" scenarios="1"/>
  <mergeCells count="16">
    <mergeCell ref="E7:F7"/>
    <mergeCell ref="D10:F10"/>
    <mergeCell ref="C3:E3"/>
    <mergeCell ref="C4:E4"/>
    <mergeCell ref="C68:E68"/>
    <mergeCell ref="C11:E11"/>
    <mergeCell ref="C22:E22"/>
    <mergeCell ref="C34:E34"/>
    <mergeCell ref="B9:F9"/>
    <mergeCell ref="B20:F20"/>
    <mergeCell ref="B32:F32"/>
    <mergeCell ref="B43:F43"/>
    <mergeCell ref="B55:F55"/>
    <mergeCell ref="B66:F66"/>
    <mergeCell ref="C45:E45"/>
    <mergeCell ref="C57:E57"/>
  </mergeCells>
  <conditionalFormatting sqref="C13:F16 C17:E17">
    <cfRule type="colorScale" priority="44">
      <colorScale>
        <cfvo type="num" val="0"/>
        <cfvo type="num" val="1.5"/>
        <cfvo type="num" val="3"/>
        <color rgb="FFF8696B"/>
        <color rgb="FFFFEB84"/>
        <color rgb="FF63BE7B"/>
      </colorScale>
    </cfRule>
  </conditionalFormatting>
  <conditionalFormatting sqref="C24:F27 C28:E28">
    <cfRule type="colorScale" priority="10">
      <colorScale>
        <cfvo type="num" val="0"/>
        <cfvo type="num" val="1.5"/>
        <cfvo type="num" val="3"/>
        <color rgb="FFF8696B"/>
        <color rgb="FFFFEB84"/>
        <color rgb="FF63BE7B"/>
      </colorScale>
    </cfRule>
  </conditionalFormatting>
  <conditionalFormatting sqref="C36:F39 C40:E40">
    <cfRule type="colorScale" priority="8">
      <colorScale>
        <cfvo type="num" val="0"/>
        <cfvo type="num" val="1.5"/>
        <cfvo type="num" val="3"/>
        <color rgb="FFF8696B"/>
        <color rgb="FFFFEB84"/>
        <color rgb="FF63BE7B"/>
      </colorScale>
    </cfRule>
  </conditionalFormatting>
  <conditionalFormatting sqref="C47:F50 C51:E51">
    <cfRule type="colorScale" priority="6">
      <colorScale>
        <cfvo type="num" val="0"/>
        <cfvo type="num" val="1.5"/>
        <cfvo type="num" val="3"/>
        <color rgb="FFF8696B"/>
        <color rgb="FFFFEB84"/>
        <color rgb="FF63BE7B"/>
      </colorScale>
    </cfRule>
  </conditionalFormatting>
  <conditionalFormatting sqref="C59:F62 C63:E63">
    <cfRule type="colorScale" priority="4">
      <colorScale>
        <cfvo type="num" val="0"/>
        <cfvo type="num" val="1.5"/>
        <cfvo type="num" val="3"/>
        <color rgb="FFF8696B"/>
        <color rgb="FFFFEB84"/>
        <color rgb="FF63BE7B"/>
      </colorScale>
    </cfRule>
  </conditionalFormatting>
  <conditionalFormatting sqref="C70:F73 C74:E74">
    <cfRule type="colorScale" priority="2">
      <colorScale>
        <cfvo type="num" val="0"/>
        <cfvo type="num" val="1.5"/>
        <cfvo type="num" val="3"/>
        <color rgb="FFF8696B"/>
        <color rgb="FFFFEB84"/>
        <color rgb="FF63BE7B"/>
      </colorScale>
    </cfRule>
  </conditionalFormatting>
  <conditionalFormatting sqref="F17">
    <cfRule type="colorScale" priority="28">
      <colorScale>
        <cfvo type="num" val="0"/>
        <cfvo type="num" val="1.5"/>
        <cfvo type="num" val="3"/>
        <color rgb="FFF8696B"/>
        <color rgb="FFFFEB84"/>
        <color rgb="FF63BE7B"/>
      </colorScale>
    </cfRule>
  </conditionalFormatting>
  <conditionalFormatting sqref="F28">
    <cfRule type="colorScale" priority="9">
      <colorScale>
        <cfvo type="num" val="0"/>
        <cfvo type="num" val="1.5"/>
        <cfvo type="num" val="3"/>
        <color rgb="FFF8696B"/>
        <color rgb="FFFFEB84"/>
        <color rgb="FF63BE7B"/>
      </colorScale>
    </cfRule>
  </conditionalFormatting>
  <conditionalFormatting sqref="F40">
    <cfRule type="colorScale" priority="7">
      <colorScale>
        <cfvo type="num" val="0"/>
        <cfvo type="num" val="1.5"/>
        <cfvo type="num" val="3"/>
        <color rgb="FFF8696B"/>
        <color rgb="FFFFEB84"/>
        <color rgb="FF63BE7B"/>
      </colorScale>
    </cfRule>
  </conditionalFormatting>
  <conditionalFormatting sqref="F51">
    <cfRule type="colorScale" priority="5">
      <colorScale>
        <cfvo type="num" val="0"/>
        <cfvo type="num" val="1.5"/>
        <cfvo type="num" val="3"/>
        <color rgb="FFF8696B"/>
        <color rgb="FFFFEB84"/>
        <color rgb="FF63BE7B"/>
      </colorScale>
    </cfRule>
  </conditionalFormatting>
  <conditionalFormatting sqref="F63">
    <cfRule type="colorScale" priority="3">
      <colorScale>
        <cfvo type="num" val="0"/>
        <cfvo type="num" val="1.5"/>
        <cfvo type="num" val="3"/>
        <color rgb="FFF8696B"/>
        <color rgb="FFFFEB84"/>
        <color rgb="FF63BE7B"/>
      </colorScale>
    </cfRule>
  </conditionalFormatting>
  <conditionalFormatting sqref="F74">
    <cfRule type="colorScale" priority="1">
      <colorScale>
        <cfvo type="num" val="0"/>
        <cfvo type="num" val="1.5"/>
        <cfvo type="num" val="3"/>
        <color rgb="FFF8696B"/>
        <color rgb="FFFFEB84"/>
        <color rgb="FF63BE7B"/>
      </colorScale>
    </cfRule>
  </conditionalFormatting>
  <hyperlinks>
    <hyperlink ref="E7" location="Recommendations!A1" display="View recommendations and next steps" xr:uid="{FE1EAB00-716A-9944-B0AE-7CA2BA8BC1BF}"/>
    <hyperlink ref="D10:F10" location="Definitions!A1" display="Learn more about Categories, Domains, and Themes" xr:uid="{0B07350A-EE01-3442-88E8-F5A7724ABD88}"/>
  </hyperlinks>
  <pageMargins left="0.7" right="0.7" top="0.75" bottom="0.75" header="0.3" footer="0.3"/>
  <pageSetup scale="65" fitToHeight="3" orientation="portrait" horizontalDpi="0" verticalDpi="0"/>
  <rowBreaks count="3" manualBreakCount="3">
    <brk id="6" max="6" man="1"/>
    <brk id="29" max="6" man="1"/>
    <brk id="52" max="6" man="1"/>
  </rowBreaks>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9A865B-42F4-DF45-BC0A-F128E7564194}">
  <sheetPr codeName="Sheet4"/>
  <dimension ref="A1:U123"/>
  <sheetViews>
    <sheetView view="pageBreakPreview" zoomScale="75" zoomScaleNormal="100" zoomScaleSheetLayoutView="75" workbookViewId="0"/>
  </sheetViews>
  <sheetFormatPr baseColWidth="10" defaultColWidth="0" defaultRowHeight="0" customHeight="1" zeroHeight="1"/>
  <cols>
    <col min="1" max="1" width="2.5" style="4" customWidth="1"/>
    <col min="2" max="2" width="2.5" style="5" customWidth="1"/>
    <col min="3" max="3" width="44.1640625" style="6" customWidth="1"/>
    <col min="4" max="4" width="9.1640625" style="7" customWidth="1"/>
    <col min="5" max="5" width="44.1640625" style="7" customWidth="1"/>
    <col min="6" max="6" width="52.1640625" style="5" customWidth="1"/>
    <col min="7" max="7" width="2.5" style="5" customWidth="1"/>
    <col min="8" max="8" width="2.5" style="4" customWidth="1"/>
    <col min="9" max="9" width="3.5" style="8" customWidth="1"/>
    <col min="10" max="13" width="3.5" style="9" customWidth="1"/>
    <col min="14" max="14" width="3.5" style="10" customWidth="1"/>
    <col min="15" max="17" width="3.5" style="9" customWidth="1"/>
    <col min="18" max="18" width="3.5" style="10" customWidth="1"/>
    <col min="19" max="20" width="3.5" style="9" customWidth="1"/>
    <col min="21" max="21" width="3.5" style="10" customWidth="1"/>
    <col min="22" max="16384" width="10.83203125" style="5" hidden="1"/>
  </cols>
  <sheetData>
    <row r="1" spans="1:21" s="3" customFormat="1" ht="15" customHeight="1">
      <c r="A1" s="2" t="s">
        <v>0</v>
      </c>
      <c r="B1" s="2" t="s">
        <v>52</v>
      </c>
      <c r="C1" s="2" t="s">
        <v>40</v>
      </c>
      <c r="D1" s="2" t="s">
        <v>206</v>
      </c>
      <c r="E1" s="2" t="s">
        <v>266</v>
      </c>
      <c r="H1" s="2"/>
      <c r="I1" s="8" t="s">
        <v>8</v>
      </c>
      <c r="J1" s="9" t="s">
        <v>9</v>
      </c>
      <c r="K1" s="9" t="s">
        <v>10</v>
      </c>
      <c r="L1" s="9" t="s">
        <v>11</v>
      </c>
      <c r="M1" s="9" t="s">
        <v>12</v>
      </c>
      <c r="N1" s="10" t="s">
        <v>13</v>
      </c>
      <c r="O1" s="9" t="s">
        <v>16</v>
      </c>
      <c r="P1" s="9" t="s">
        <v>17</v>
      </c>
      <c r="Q1" s="9" t="s">
        <v>18</v>
      </c>
      <c r="R1" s="10" t="s">
        <v>19</v>
      </c>
      <c r="S1" s="9" t="s">
        <v>21</v>
      </c>
      <c r="T1" s="9" t="s">
        <v>22</v>
      </c>
      <c r="U1" s="10" t="s">
        <v>23</v>
      </c>
    </row>
    <row r="2" spans="1:21" ht="15" customHeight="1" thickBot="1">
      <c r="A2" s="106" t="str">
        <f>'Self-Assessment'!A2</f>
        <v>v260306</v>
      </c>
      <c r="B2" s="38"/>
      <c r="C2" s="37"/>
      <c r="D2" s="37"/>
      <c r="E2" s="37"/>
      <c r="F2" s="37"/>
      <c r="G2" s="41"/>
      <c r="I2" s="11"/>
      <c r="J2" s="12"/>
      <c r="K2" s="12"/>
      <c r="L2" s="12"/>
      <c r="M2" s="12"/>
      <c r="N2" s="13"/>
      <c r="O2" s="12"/>
      <c r="P2" s="12"/>
      <c r="Q2" s="12"/>
      <c r="R2" s="13"/>
      <c r="S2" s="12"/>
      <c r="T2" s="12"/>
      <c r="U2" s="13"/>
    </row>
    <row r="3" spans="1:21" ht="73" customHeight="1" thickBot="1">
      <c r="B3" s="39"/>
      <c r="C3" s="182" t="s">
        <v>1</v>
      </c>
      <c r="D3" s="183"/>
      <c r="E3" s="184"/>
      <c r="F3" s="51"/>
      <c r="G3" s="42"/>
      <c r="I3" s="11"/>
      <c r="J3" s="12"/>
      <c r="K3" s="12"/>
      <c r="L3" s="12"/>
      <c r="M3" s="12"/>
      <c r="N3" s="13"/>
      <c r="O3" s="12"/>
      <c r="P3" s="12"/>
      <c r="Q3" s="12"/>
      <c r="R3" s="13"/>
      <c r="S3" s="12"/>
      <c r="T3" s="12"/>
      <c r="U3" s="13"/>
    </row>
    <row r="4" spans="1:21" ht="19" hidden="1">
      <c r="B4" s="39"/>
      <c r="C4" s="181" t="s">
        <v>266</v>
      </c>
      <c r="D4" s="181"/>
      <c r="E4" s="181"/>
      <c r="F4" s="51"/>
      <c r="G4" s="42"/>
      <c r="I4" s="11"/>
      <c r="J4" s="12"/>
      <c r="K4" s="12"/>
      <c r="L4" s="12"/>
      <c r="M4" s="12"/>
      <c r="N4" s="13"/>
      <c r="O4" s="12"/>
      <c r="P4" s="12"/>
      <c r="Q4" s="12"/>
      <c r="R4" s="13"/>
      <c r="S4" s="12"/>
      <c r="T4" s="12"/>
      <c r="U4" s="13"/>
    </row>
    <row r="5" spans="1:21" ht="19">
      <c r="B5" s="39"/>
      <c r="C5" s="181" t="s">
        <v>266</v>
      </c>
      <c r="D5" s="181"/>
      <c r="E5" s="181"/>
      <c r="F5" s="51"/>
      <c r="G5" s="42"/>
      <c r="I5" s="11"/>
      <c r="J5" s="12"/>
      <c r="K5" s="12"/>
      <c r="L5" s="12"/>
      <c r="M5" s="12"/>
      <c r="N5" s="13"/>
      <c r="O5" s="12"/>
      <c r="P5" s="12"/>
      <c r="Q5" s="12"/>
      <c r="R5" s="13"/>
      <c r="S5" s="12"/>
      <c r="T5" s="12"/>
      <c r="U5" s="13"/>
    </row>
    <row r="6" spans="1:21" ht="78" customHeight="1">
      <c r="B6" s="39"/>
      <c r="C6" s="216" t="s">
        <v>370</v>
      </c>
      <c r="D6" s="216"/>
      <c r="E6" s="216"/>
      <c r="F6" s="51"/>
      <c r="G6" s="42"/>
      <c r="I6" s="213" t="s">
        <v>14</v>
      </c>
      <c r="J6" s="214"/>
      <c r="K6" s="214"/>
      <c r="L6" s="214"/>
      <c r="M6" s="214"/>
      <c r="N6" s="215"/>
      <c r="O6" s="213" t="s">
        <v>15</v>
      </c>
      <c r="P6" s="214"/>
      <c r="Q6" s="214"/>
      <c r="R6" s="215"/>
      <c r="S6" s="213" t="s">
        <v>20</v>
      </c>
      <c r="T6" s="214"/>
      <c r="U6" s="215"/>
    </row>
    <row r="7" spans="1:21" ht="291" customHeight="1">
      <c r="B7" s="101">
        <v>0</v>
      </c>
      <c r="C7" s="31" t="s">
        <v>273</v>
      </c>
      <c r="D7" s="109" t="s">
        <v>274</v>
      </c>
      <c r="E7" s="32" t="s">
        <v>266</v>
      </c>
      <c r="F7" s="32" t="s">
        <v>495</v>
      </c>
      <c r="G7" s="42"/>
      <c r="I7" s="123" t="s">
        <v>356</v>
      </c>
      <c r="J7" s="124" t="s">
        <v>357</v>
      </c>
      <c r="K7" s="124" t="s">
        <v>358</v>
      </c>
      <c r="L7" s="124" t="s">
        <v>359</v>
      </c>
      <c r="M7" s="124" t="s">
        <v>360</v>
      </c>
      <c r="N7" s="125" t="s">
        <v>361</v>
      </c>
      <c r="O7" s="124" t="s">
        <v>362</v>
      </c>
      <c r="P7" s="124" t="s">
        <v>363</v>
      </c>
      <c r="Q7" s="124" t="s">
        <v>364</v>
      </c>
      <c r="R7" s="125" t="s">
        <v>365</v>
      </c>
      <c r="S7" s="124" t="s">
        <v>366</v>
      </c>
      <c r="T7" s="124" t="s">
        <v>367</v>
      </c>
      <c r="U7" s="125" t="s">
        <v>368</v>
      </c>
    </row>
    <row r="8" spans="1:21" ht="128">
      <c r="B8" s="60">
        <f>B7+1</f>
        <v>1</v>
      </c>
      <c r="C8" s="139" t="s">
        <v>246</v>
      </c>
      <c r="D8" s="148">
        <f>'Self-Assessment'!D27</f>
        <v>0</v>
      </c>
      <c r="E8" s="139" t="s">
        <v>304</v>
      </c>
      <c r="F8" s="140"/>
      <c r="G8" s="42"/>
      <c r="M8" s="9">
        <v>1</v>
      </c>
      <c r="Q8" s="9">
        <v>1</v>
      </c>
      <c r="S8" s="9">
        <v>1</v>
      </c>
    </row>
    <row r="9" spans="1:21" ht="160">
      <c r="B9" s="60">
        <f t="shared" ref="B9:B32" si="0">B8+1</f>
        <v>2</v>
      </c>
      <c r="C9" s="57" t="s">
        <v>434</v>
      </c>
      <c r="D9" s="107">
        <f>'Self-Assessment'!D28</f>
        <v>0</v>
      </c>
      <c r="E9" s="57" t="s">
        <v>306</v>
      </c>
      <c r="F9" s="83"/>
      <c r="G9" s="42"/>
      <c r="M9" s="9">
        <v>1</v>
      </c>
      <c r="O9" s="9">
        <v>1</v>
      </c>
      <c r="S9" s="9">
        <v>1</v>
      </c>
    </row>
    <row r="10" spans="1:21" ht="112">
      <c r="B10" s="60">
        <f t="shared" si="0"/>
        <v>3</v>
      </c>
      <c r="C10" s="139" t="s">
        <v>435</v>
      </c>
      <c r="D10" s="148">
        <f>'Self-Assessment'!D29</f>
        <v>0</v>
      </c>
      <c r="E10" s="139" t="s">
        <v>307</v>
      </c>
      <c r="F10" s="140"/>
      <c r="G10" s="42"/>
      <c r="N10" s="10">
        <v>1</v>
      </c>
      <c r="O10" s="9">
        <v>1</v>
      </c>
      <c r="S10" s="9">
        <v>1</v>
      </c>
      <c r="T10" s="9">
        <v>1</v>
      </c>
    </row>
    <row r="11" spans="1:21" ht="176">
      <c r="B11" s="60">
        <f t="shared" si="0"/>
        <v>4</v>
      </c>
      <c r="C11" s="57" t="s">
        <v>501</v>
      </c>
      <c r="D11" s="107">
        <f>'Self-Assessment'!D30</f>
        <v>0</v>
      </c>
      <c r="E11" s="57" t="s">
        <v>269</v>
      </c>
      <c r="F11" s="83"/>
      <c r="G11" s="42"/>
      <c r="I11" s="8">
        <v>1</v>
      </c>
      <c r="O11" s="9">
        <v>1</v>
      </c>
      <c r="T11" s="9">
        <v>1</v>
      </c>
    </row>
    <row r="12" spans="1:21" ht="256">
      <c r="B12" s="60">
        <f t="shared" si="0"/>
        <v>5</v>
      </c>
      <c r="C12" s="139" t="s">
        <v>503</v>
      </c>
      <c r="D12" s="148">
        <f>'Self-Assessment'!D31</f>
        <v>0</v>
      </c>
      <c r="E12" s="139" t="s">
        <v>309</v>
      </c>
      <c r="F12" s="140"/>
      <c r="G12" s="42"/>
      <c r="I12" s="8">
        <v>1</v>
      </c>
      <c r="K12" s="9">
        <v>1</v>
      </c>
      <c r="O12" s="9">
        <v>1</v>
      </c>
      <c r="Q12" s="9">
        <v>1</v>
      </c>
      <c r="T12" s="9">
        <v>1</v>
      </c>
      <c r="U12" s="10">
        <v>1</v>
      </c>
    </row>
    <row r="13" spans="1:21" ht="144">
      <c r="B13" s="60">
        <f t="shared" si="0"/>
        <v>6</v>
      </c>
      <c r="C13" s="57" t="s">
        <v>436</v>
      </c>
      <c r="D13" s="107">
        <f>'Self-Assessment'!D32</f>
        <v>0</v>
      </c>
      <c r="E13" s="57" t="s">
        <v>311</v>
      </c>
      <c r="F13" s="83"/>
      <c r="G13" s="42"/>
      <c r="M13" s="9">
        <v>1</v>
      </c>
      <c r="O13" s="9">
        <v>1</v>
      </c>
      <c r="S13" s="9">
        <v>1</v>
      </c>
    </row>
    <row r="14" spans="1:21" ht="160">
      <c r="B14" s="60">
        <f t="shared" si="0"/>
        <v>7</v>
      </c>
      <c r="C14" s="139" t="s">
        <v>442</v>
      </c>
      <c r="D14" s="148">
        <f>'Self-Assessment'!D33</f>
        <v>0</v>
      </c>
      <c r="E14" s="139" t="s">
        <v>312</v>
      </c>
      <c r="F14" s="140"/>
      <c r="G14" s="42"/>
      <c r="K14" s="9">
        <v>1</v>
      </c>
      <c r="P14" s="9">
        <v>1</v>
      </c>
      <c r="U14" s="10">
        <v>1</v>
      </c>
    </row>
    <row r="15" spans="1:21" ht="96">
      <c r="B15" s="60">
        <f t="shared" si="0"/>
        <v>8</v>
      </c>
      <c r="C15" s="57" t="s">
        <v>502</v>
      </c>
      <c r="D15" s="107">
        <f>'Self-Assessment'!D34</f>
        <v>0</v>
      </c>
      <c r="E15" s="57" t="s">
        <v>313</v>
      </c>
      <c r="F15" s="83"/>
      <c r="G15" s="42"/>
      <c r="K15" s="9">
        <v>1</v>
      </c>
      <c r="O15" s="9">
        <v>1</v>
      </c>
      <c r="S15" s="9">
        <v>1</v>
      </c>
      <c r="T15" s="9">
        <v>1</v>
      </c>
    </row>
    <row r="16" spans="1:21" ht="395">
      <c r="B16" s="60">
        <f t="shared" si="0"/>
        <v>9</v>
      </c>
      <c r="C16" s="139" t="s">
        <v>500</v>
      </c>
      <c r="D16" s="148">
        <f>'Self-Assessment'!D35</f>
        <v>0</v>
      </c>
      <c r="E16" s="139" t="s">
        <v>314</v>
      </c>
      <c r="F16" s="140"/>
      <c r="G16" s="42"/>
      <c r="I16" s="8">
        <v>1</v>
      </c>
      <c r="L16" s="9">
        <v>1</v>
      </c>
      <c r="O16" s="9">
        <v>1</v>
      </c>
      <c r="Q16" s="9">
        <v>1</v>
      </c>
      <c r="S16" s="9">
        <v>1</v>
      </c>
    </row>
    <row r="17" spans="2:21" ht="96">
      <c r="B17" s="60">
        <f t="shared" si="0"/>
        <v>10</v>
      </c>
      <c r="C17" s="57" t="s">
        <v>504</v>
      </c>
      <c r="D17" s="107">
        <f>'Self-Assessment'!D36</f>
        <v>0</v>
      </c>
      <c r="E17" s="57" t="s">
        <v>316</v>
      </c>
      <c r="F17" s="83"/>
      <c r="G17" s="42"/>
      <c r="I17" s="8">
        <v>1</v>
      </c>
      <c r="Q17" s="9">
        <v>1</v>
      </c>
      <c r="T17" s="9">
        <v>1</v>
      </c>
    </row>
    <row r="18" spans="2:21" ht="224">
      <c r="B18" s="60">
        <f t="shared" si="0"/>
        <v>11</v>
      </c>
      <c r="C18" s="139" t="s">
        <v>437</v>
      </c>
      <c r="D18" s="148">
        <f>'Self-Assessment'!D37</f>
        <v>0</v>
      </c>
      <c r="E18" s="139" t="s">
        <v>319</v>
      </c>
      <c r="F18" s="140"/>
      <c r="G18" s="42"/>
      <c r="I18" s="8">
        <v>1</v>
      </c>
      <c r="O18" s="9">
        <v>1</v>
      </c>
      <c r="P18" s="9">
        <v>1</v>
      </c>
      <c r="T18" s="9">
        <v>1</v>
      </c>
    </row>
    <row r="19" spans="2:21" ht="176">
      <c r="B19" s="60">
        <f t="shared" si="0"/>
        <v>12</v>
      </c>
      <c r="C19" s="57" t="s">
        <v>505</v>
      </c>
      <c r="D19" s="107">
        <f>'Self-Assessment'!D38</f>
        <v>0</v>
      </c>
      <c r="E19" s="57" t="s">
        <v>320</v>
      </c>
      <c r="F19" s="83"/>
      <c r="G19" s="42"/>
      <c r="I19" s="8">
        <v>1</v>
      </c>
      <c r="K19" s="9">
        <v>1</v>
      </c>
      <c r="Q19" s="9">
        <v>1</v>
      </c>
      <c r="R19" s="10">
        <v>1</v>
      </c>
      <c r="U19" s="10">
        <v>1</v>
      </c>
    </row>
    <row r="20" spans="2:21" ht="64">
      <c r="B20" s="60">
        <f t="shared" si="0"/>
        <v>13</v>
      </c>
      <c r="C20" s="139" t="s">
        <v>247</v>
      </c>
      <c r="D20" s="148">
        <f>'Self-Assessment'!D39</f>
        <v>0</v>
      </c>
      <c r="E20" s="139" t="s">
        <v>322</v>
      </c>
      <c r="F20" s="140"/>
      <c r="G20" s="42"/>
      <c r="I20" s="8">
        <v>1</v>
      </c>
      <c r="J20" s="9">
        <v>1</v>
      </c>
      <c r="O20" s="9">
        <v>1</v>
      </c>
      <c r="Q20" s="9">
        <v>1</v>
      </c>
      <c r="S20" s="9">
        <v>1</v>
      </c>
      <c r="T20" s="9">
        <v>1</v>
      </c>
      <c r="U20" s="10">
        <v>1</v>
      </c>
    </row>
    <row r="21" spans="2:21" ht="96">
      <c r="B21" s="60">
        <f t="shared" si="0"/>
        <v>14</v>
      </c>
      <c r="C21" s="57" t="s">
        <v>248</v>
      </c>
      <c r="D21" s="107">
        <f>'Self-Assessment'!D40</f>
        <v>0</v>
      </c>
      <c r="E21" s="57" t="s">
        <v>272</v>
      </c>
      <c r="F21" s="83"/>
      <c r="G21" s="42"/>
      <c r="J21" s="9">
        <v>1</v>
      </c>
      <c r="L21" s="9">
        <v>1</v>
      </c>
      <c r="M21" s="9">
        <v>1</v>
      </c>
      <c r="Q21" s="9">
        <v>1</v>
      </c>
      <c r="R21" s="10">
        <v>1</v>
      </c>
      <c r="S21" s="9">
        <v>1</v>
      </c>
    </row>
    <row r="22" spans="2:21" ht="176">
      <c r="B22" s="60">
        <f t="shared" si="0"/>
        <v>15</v>
      </c>
      <c r="C22" s="139" t="s">
        <v>454</v>
      </c>
      <c r="D22" s="148">
        <f>'Self-Assessment'!D42</f>
        <v>0</v>
      </c>
      <c r="E22" s="139" t="s">
        <v>267</v>
      </c>
      <c r="F22" s="140"/>
      <c r="G22" s="42"/>
      <c r="I22" s="8">
        <v>1</v>
      </c>
      <c r="M22" s="9">
        <v>1</v>
      </c>
      <c r="R22" s="10">
        <v>1</v>
      </c>
      <c r="U22" s="10">
        <v>1</v>
      </c>
    </row>
    <row r="23" spans="2:21" ht="144">
      <c r="B23" s="60">
        <f t="shared" si="0"/>
        <v>16</v>
      </c>
      <c r="C23" s="57" t="s">
        <v>210</v>
      </c>
      <c r="D23" s="107">
        <f>'Self-Assessment'!D43</f>
        <v>0</v>
      </c>
      <c r="E23" s="57" t="s">
        <v>305</v>
      </c>
      <c r="F23" s="83"/>
      <c r="G23" s="42"/>
      <c r="I23" s="8">
        <v>1</v>
      </c>
      <c r="M23" s="9">
        <v>1</v>
      </c>
      <c r="N23" s="10">
        <v>1</v>
      </c>
      <c r="R23" s="10">
        <v>1</v>
      </c>
      <c r="T23" s="9">
        <v>1</v>
      </c>
      <c r="U23" s="10">
        <v>1</v>
      </c>
    </row>
    <row r="24" spans="2:21" ht="112">
      <c r="B24" s="60">
        <f t="shared" si="0"/>
        <v>17</v>
      </c>
      <c r="C24" s="139" t="s">
        <v>443</v>
      </c>
      <c r="D24" s="148">
        <f>'Self-Assessment'!D44</f>
        <v>0</v>
      </c>
      <c r="E24" s="139" t="s">
        <v>308</v>
      </c>
      <c r="F24" s="140"/>
      <c r="G24" s="42"/>
      <c r="I24" s="8">
        <v>1</v>
      </c>
      <c r="K24" s="9">
        <v>1</v>
      </c>
      <c r="N24" s="10">
        <v>1</v>
      </c>
      <c r="P24" s="9">
        <v>1</v>
      </c>
      <c r="Q24" s="9">
        <v>1</v>
      </c>
      <c r="R24" s="10">
        <v>1</v>
      </c>
      <c r="S24" s="9">
        <v>1</v>
      </c>
      <c r="T24" s="9">
        <v>1</v>
      </c>
    </row>
    <row r="25" spans="2:21" ht="80">
      <c r="B25" s="60">
        <f t="shared" si="0"/>
        <v>18</v>
      </c>
      <c r="C25" s="57" t="s">
        <v>211</v>
      </c>
      <c r="D25" s="107">
        <f>'Self-Assessment'!D45</f>
        <v>0</v>
      </c>
      <c r="E25" s="57" t="s">
        <v>268</v>
      </c>
      <c r="F25" s="83"/>
      <c r="G25" s="42"/>
      <c r="N25" s="10">
        <v>1</v>
      </c>
      <c r="R25" s="10">
        <v>1</v>
      </c>
      <c r="T25" s="9">
        <v>1</v>
      </c>
    </row>
    <row r="26" spans="2:21" ht="96">
      <c r="B26" s="60">
        <f t="shared" si="0"/>
        <v>19</v>
      </c>
      <c r="C26" s="139" t="s">
        <v>222</v>
      </c>
      <c r="D26" s="148">
        <f>'Self-Assessment'!D46</f>
        <v>0</v>
      </c>
      <c r="E26" s="139" t="s">
        <v>270</v>
      </c>
      <c r="F26" s="140"/>
      <c r="G26" s="42"/>
      <c r="M26" s="9">
        <v>1</v>
      </c>
      <c r="O26" s="9">
        <v>1</v>
      </c>
      <c r="U26" s="10">
        <v>1</v>
      </c>
    </row>
    <row r="27" spans="2:21" ht="128">
      <c r="B27" s="60">
        <f t="shared" si="0"/>
        <v>20</v>
      </c>
      <c r="C27" s="57" t="s">
        <v>438</v>
      </c>
      <c r="D27" s="107">
        <f>'Self-Assessment'!D47</f>
        <v>0</v>
      </c>
      <c r="E27" s="57" t="s">
        <v>310</v>
      </c>
      <c r="F27" s="83"/>
      <c r="G27" s="42"/>
      <c r="M27" s="9">
        <v>1</v>
      </c>
      <c r="O27" s="9">
        <v>1</v>
      </c>
      <c r="U27" s="10">
        <v>1</v>
      </c>
    </row>
    <row r="28" spans="2:21" ht="80">
      <c r="B28" s="60">
        <f t="shared" si="0"/>
        <v>21</v>
      </c>
      <c r="C28" s="139" t="s">
        <v>414</v>
      </c>
      <c r="D28" s="148">
        <f>'Self-Assessment'!D48</f>
        <v>0</v>
      </c>
      <c r="E28" s="139" t="s">
        <v>315</v>
      </c>
      <c r="F28" s="140"/>
      <c r="G28" s="42"/>
      <c r="I28" s="8">
        <v>1</v>
      </c>
      <c r="P28" s="9">
        <v>1</v>
      </c>
      <c r="S28" s="9">
        <v>1</v>
      </c>
    </row>
    <row r="29" spans="2:21" ht="80">
      <c r="B29" s="60">
        <f t="shared" si="0"/>
        <v>22</v>
      </c>
      <c r="C29" s="57" t="s">
        <v>439</v>
      </c>
      <c r="D29" s="107">
        <f>'Self-Assessment'!D49</f>
        <v>0</v>
      </c>
      <c r="E29" s="57" t="s">
        <v>271</v>
      </c>
      <c r="F29" s="83"/>
      <c r="G29" s="42"/>
      <c r="L29" s="9">
        <v>1</v>
      </c>
      <c r="O29" s="9">
        <v>1</v>
      </c>
      <c r="T29" s="9">
        <v>1</v>
      </c>
      <c r="U29" s="10">
        <v>1</v>
      </c>
    </row>
    <row r="30" spans="2:21" ht="240">
      <c r="B30" s="60">
        <f t="shared" si="0"/>
        <v>23</v>
      </c>
      <c r="C30" s="139" t="s">
        <v>444</v>
      </c>
      <c r="D30" s="148">
        <f>'Self-Assessment'!D50</f>
        <v>0</v>
      </c>
      <c r="E30" s="139" t="s">
        <v>317</v>
      </c>
      <c r="F30" s="140"/>
      <c r="G30" s="42"/>
      <c r="I30" s="8">
        <v>1</v>
      </c>
      <c r="R30" s="10">
        <v>1</v>
      </c>
      <c r="U30" s="10">
        <v>1</v>
      </c>
    </row>
    <row r="31" spans="2:21" ht="96">
      <c r="B31" s="60">
        <f t="shared" si="0"/>
        <v>24</v>
      </c>
      <c r="C31" s="57" t="s">
        <v>440</v>
      </c>
      <c r="D31" s="107">
        <f>'Self-Assessment'!D51</f>
        <v>0</v>
      </c>
      <c r="E31" s="57" t="s">
        <v>318</v>
      </c>
      <c r="F31" s="83"/>
      <c r="G31" s="42"/>
      <c r="L31" s="9">
        <v>1</v>
      </c>
      <c r="P31" s="9">
        <v>1</v>
      </c>
      <c r="T31" s="9">
        <v>1</v>
      </c>
    </row>
    <row r="32" spans="2:21" ht="97" thickBot="1">
      <c r="B32" s="60">
        <f t="shared" si="0"/>
        <v>25</v>
      </c>
      <c r="C32" s="59" t="s">
        <v>212</v>
      </c>
      <c r="D32" s="154">
        <f>'Self-Assessment'!D52</f>
        <v>0</v>
      </c>
      <c r="E32" s="59" t="s">
        <v>321</v>
      </c>
      <c r="F32" s="85"/>
      <c r="G32" s="42"/>
      <c r="J32" s="9">
        <v>1</v>
      </c>
      <c r="P32" s="9">
        <v>1</v>
      </c>
      <c r="Q32" s="9">
        <v>1</v>
      </c>
      <c r="R32" s="10">
        <v>1</v>
      </c>
      <c r="S32" s="9">
        <v>1</v>
      </c>
      <c r="T32" s="9">
        <v>1</v>
      </c>
      <c r="U32" s="10">
        <v>1</v>
      </c>
    </row>
    <row r="33" spans="2:21" ht="21">
      <c r="B33" s="61"/>
      <c r="C33" s="54"/>
      <c r="D33" s="55"/>
      <c r="E33" s="55"/>
      <c r="F33" s="51"/>
      <c r="G33" s="42"/>
    </row>
    <row r="34" spans="2:21" ht="16">
      <c r="B34" s="101">
        <f>B32</f>
        <v>25</v>
      </c>
      <c r="C34" s="31" t="s">
        <v>213</v>
      </c>
      <c r="D34" s="32" t="s">
        <v>274</v>
      </c>
      <c r="E34" s="32" t="s">
        <v>266</v>
      </c>
      <c r="F34" s="32" t="s">
        <v>495</v>
      </c>
      <c r="G34" s="42"/>
      <c r="I34" s="110">
        <v>1</v>
      </c>
      <c r="J34" s="111">
        <v>1</v>
      </c>
      <c r="K34" s="111">
        <v>1</v>
      </c>
      <c r="L34" s="111">
        <v>1</v>
      </c>
      <c r="M34" s="111">
        <v>1</v>
      </c>
      <c r="N34" s="112">
        <v>1</v>
      </c>
      <c r="O34" s="111">
        <v>1</v>
      </c>
      <c r="P34" s="111">
        <v>1</v>
      </c>
      <c r="Q34" s="111">
        <v>1</v>
      </c>
      <c r="R34" s="112">
        <v>1</v>
      </c>
      <c r="S34" s="111">
        <v>1</v>
      </c>
      <c r="T34" s="111">
        <v>1</v>
      </c>
      <c r="U34" s="112">
        <v>1</v>
      </c>
    </row>
    <row r="35" spans="2:21" ht="144">
      <c r="B35" s="60">
        <f>B34+1</f>
        <v>26</v>
      </c>
      <c r="C35" s="139" t="s">
        <v>249</v>
      </c>
      <c r="D35" s="148">
        <f>'Self-Assessment'!D55</f>
        <v>0</v>
      </c>
      <c r="E35" s="139" t="s">
        <v>280</v>
      </c>
      <c r="F35" s="140"/>
      <c r="G35" s="42"/>
      <c r="I35" s="8">
        <v>1</v>
      </c>
      <c r="J35" s="9">
        <v>1</v>
      </c>
      <c r="O35" s="9">
        <v>1</v>
      </c>
      <c r="S35" s="9">
        <v>1</v>
      </c>
    </row>
    <row r="36" spans="2:21" ht="272">
      <c r="B36" s="60">
        <f t="shared" ref="B36:B49" si="1">B35+1</f>
        <v>27</v>
      </c>
      <c r="C36" s="57" t="s">
        <v>250</v>
      </c>
      <c r="D36" s="107">
        <f>'Self-Assessment'!D56</f>
        <v>0</v>
      </c>
      <c r="E36" s="57" t="s">
        <v>323</v>
      </c>
      <c r="F36" s="83"/>
      <c r="G36" s="42"/>
      <c r="I36" s="8">
        <v>1</v>
      </c>
      <c r="J36" s="9">
        <v>1</v>
      </c>
      <c r="Q36" s="9">
        <v>1</v>
      </c>
      <c r="U36" s="10">
        <v>1</v>
      </c>
    </row>
    <row r="37" spans="2:21" ht="160">
      <c r="B37" s="60">
        <f t="shared" si="1"/>
        <v>28</v>
      </c>
      <c r="C37" s="56" t="s">
        <v>423</v>
      </c>
      <c r="D37" s="148">
        <f>'Self-Assessment'!D57</f>
        <v>0</v>
      </c>
      <c r="E37" s="139" t="s">
        <v>324</v>
      </c>
      <c r="F37" s="140"/>
      <c r="G37" s="42"/>
      <c r="I37" s="8">
        <v>1</v>
      </c>
      <c r="J37" s="9">
        <v>1</v>
      </c>
      <c r="Q37" s="9">
        <v>1</v>
      </c>
      <c r="S37" s="9">
        <v>1</v>
      </c>
      <c r="U37" s="10">
        <v>1</v>
      </c>
    </row>
    <row r="38" spans="2:21" ht="160">
      <c r="B38" s="60">
        <f t="shared" si="1"/>
        <v>29</v>
      </c>
      <c r="C38" s="57" t="s">
        <v>424</v>
      </c>
      <c r="D38" s="107">
        <f>'Self-Assessment'!D58</f>
        <v>0</v>
      </c>
      <c r="E38" s="57" t="s">
        <v>325</v>
      </c>
      <c r="F38" s="83"/>
      <c r="G38" s="42"/>
      <c r="I38" s="8">
        <v>1</v>
      </c>
      <c r="J38" s="9">
        <v>1</v>
      </c>
      <c r="Q38" s="9">
        <v>1</v>
      </c>
      <c r="S38" s="9">
        <v>1</v>
      </c>
      <c r="T38" s="9">
        <v>1</v>
      </c>
      <c r="U38" s="10">
        <v>1</v>
      </c>
    </row>
    <row r="39" spans="2:21" ht="160">
      <c r="B39" s="60">
        <f t="shared" si="1"/>
        <v>30</v>
      </c>
      <c r="C39" s="56" t="s">
        <v>251</v>
      </c>
      <c r="D39" s="148">
        <f>'Self-Assessment'!D59</f>
        <v>0</v>
      </c>
      <c r="E39" s="139" t="s">
        <v>282</v>
      </c>
      <c r="F39" s="140"/>
      <c r="G39" s="42"/>
      <c r="M39" s="9">
        <v>1</v>
      </c>
      <c r="O39" s="9">
        <v>1</v>
      </c>
      <c r="S39" s="9">
        <v>1</v>
      </c>
    </row>
    <row r="40" spans="2:21" ht="80">
      <c r="B40" s="60">
        <f t="shared" si="1"/>
        <v>31</v>
      </c>
      <c r="C40" s="57" t="s">
        <v>252</v>
      </c>
      <c r="D40" s="107">
        <f>'Self-Assessment'!D60</f>
        <v>0</v>
      </c>
      <c r="E40" s="57" t="s">
        <v>329</v>
      </c>
      <c r="F40" s="83"/>
      <c r="G40" s="42"/>
      <c r="L40" s="9">
        <v>1</v>
      </c>
      <c r="M40" s="9">
        <v>1</v>
      </c>
      <c r="P40" s="9">
        <v>1</v>
      </c>
      <c r="U40" s="10">
        <v>1</v>
      </c>
    </row>
    <row r="41" spans="2:21" ht="64">
      <c r="B41" s="60">
        <f t="shared" si="1"/>
        <v>32</v>
      </c>
      <c r="C41" s="56" t="s">
        <v>253</v>
      </c>
      <c r="D41" s="148">
        <f>'Self-Assessment'!D61</f>
        <v>0</v>
      </c>
      <c r="E41" s="139" t="s">
        <v>285</v>
      </c>
      <c r="F41" s="140"/>
      <c r="G41" s="42"/>
      <c r="M41" s="9">
        <v>1</v>
      </c>
      <c r="P41" s="9">
        <v>1</v>
      </c>
      <c r="T41" s="9">
        <v>1</v>
      </c>
    </row>
    <row r="42" spans="2:21" ht="112">
      <c r="B42" s="60">
        <f t="shared" si="1"/>
        <v>33</v>
      </c>
      <c r="C42" s="57" t="s">
        <v>425</v>
      </c>
      <c r="D42" s="107">
        <f>'Self-Assessment'!D62</f>
        <v>0</v>
      </c>
      <c r="E42" s="57" t="s">
        <v>331</v>
      </c>
      <c r="F42" s="83"/>
      <c r="G42" s="42"/>
      <c r="N42" s="10">
        <v>1</v>
      </c>
      <c r="P42" s="9">
        <v>1</v>
      </c>
      <c r="Q42" s="9">
        <v>1</v>
      </c>
      <c r="S42" s="9">
        <v>1</v>
      </c>
    </row>
    <row r="43" spans="2:21" ht="112">
      <c r="B43" s="60">
        <f t="shared" si="1"/>
        <v>34</v>
      </c>
      <c r="C43" s="56" t="s">
        <v>214</v>
      </c>
      <c r="D43" s="148">
        <f>'Self-Assessment'!D64</f>
        <v>0</v>
      </c>
      <c r="E43" s="139" t="s">
        <v>281</v>
      </c>
      <c r="F43" s="140"/>
      <c r="G43" s="42"/>
      <c r="L43" s="9">
        <v>1</v>
      </c>
      <c r="M43" s="9">
        <v>1</v>
      </c>
      <c r="P43" s="9">
        <v>1</v>
      </c>
      <c r="S43" s="9">
        <v>1</v>
      </c>
    </row>
    <row r="44" spans="2:21" ht="128">
      <c r="B44" s="60">
        <f t="shared" si="1"/>
        <v>35</v>
      </c>
      <c r="C44" s="57" t="s">
        <v>441</v>
      </c>
      <c r="D44" s="107">
        <f>'Self-Assessment'!D65</f>
        <v>0</v>
      </c>
      <c r="E44" s="57" t="s">
        <v>326</v>
      </c>
      <c r="F44" s="83"/>
      <c r="G44" s="42"/>
      <c r="M44" s="9">
        <v>1</v>
      </c>
      <c r="O44" s="9">
        <v>1</v>
      </c>
      <c r="S44" s="9">
        <v>1</v>
      </c>
    </row>
    <row r="45" spans="2:21" ht="112">
      <c r="B45" s="60">
        <f t="shared" si="1"/>
        <v>36</v>
      </c>
      <c r="C45" s="56" t="s">
        <v>215</v>
      </c>
      <c r="D45" s="148">
        <f>'Self-Assessment'!D66</f>
        <v>0</v>
      </c>
      <c r="E45" s="139" t="s">
        <v>283</v>
      </c>
      <c r="F45" s="140"/>
      <c r="G45" s="42"/>
      <c r="M45" s="9">
        <v>1</v>
      </c>
      <c r="O45" s="9">
        <v>1</v>
      </c>
      <c r="S45" s="9">
        <v>1</v>
      </c>
    </row>
    <row r="46" spans="2:21" ht="80">
      <c r="B46" s="60">
        <f t="shared" si="1"/>
        <v>37</v>
      </c>
      <c r="C46" s="57" t="s">
        <v>216</v>
      </c>
      <c r="D46" s="107">
        <f>'Self-Assessment'!D67</f>
        <v>0</v>
      </c>
      <c r="E46" s="57" t="s">
        <v>327</v>
      </c>
      <c r="F46" s="83"/>
      <c r="G46" s="42"/>
      <c r="I46" s="8">
        <v>1</v>
      </c>
      <c r="M46" s="9">
        <v>1</v>
      </c>
      <c r="P46" s="9">
        <v>1</v>
      </c>
      <c r="S46" s="9">
        <v>1</v>
      </c>
    </row>
    <row r="47" spans="2:21" ht="64">
      <c r="B47" s="60">
        <f t="shared" si="1"/>
        <v>38</v>
      </c>
      <c r="C47" s="56" t="s">
        <v>217</v>
      </c>
      <c r="D47" s="148">
        <f>'Self-Assessment'!D68</f>
        <v>0</v>
      </c>
      <c r="E47" s="139" t="s">
        <v>284</v>
      </c>
      <c r="F47" s="140"/>
      <c r="G47" s="42"/>
      <c r="J47" s="9">
        <v>1</v>
      </c>
      <c r="K47" s="9">
        <v>1</v>
      </c>
      <c r="M47" s="9">
        <v>1</v>
      </c>
      <c r="O47" s="9">
        <v>1</v>
      </c>
      <c r="Q47" s="9">
        <v>1</v>
      </c>
      <c r="U47" s="10">
        <v>1</v>
      </c>
    </row>
    <row r="48" spans="2:21" ht="64">
      <c r="B48" s="60">
        <f t="shared" si="1"/>
        <v>39</v>
      </c>
      <c r="C48" s="57" t="s">
        <v>218</v>
      </c>
      <c r="D48" s="107">
        <f>'Self-Assessment'!D69</f>
        <v>0</v>
      </c>
      <c r="E48" s="57" t="s">
        <v>328</v>
      </c>
      <c r="F48" s="83"/>
      <c r="G48" s="42"/>
      <c r="J48" s="9">
        <v>1</v>
      </c>
      <c r="O48" s="9">
        <v>1</v>
      </c>
      <c r="S48" s="9">
        <v>1</v>
      </c>
    </row>
    <row r="49" spans="2:21" ht="113" thickBot="1">
      <c r="B49" s="60">
        <f t="shared" si="1"/>
        <v>40</v>
      </c>
      <c r="C49" s="143" t="s">
        <v>221</v>
      </c>
      <c r="D49" s="154">
        <f>'Self-Assessment'!D70</f>
        <v>0</v>
      </c>
      <c r="E49" s="59" t="s">
        <v>330</v>
      </c>
      <c r="F49" s="85"/>
      <c r="G49" s="42"/>
      <c r="N49" s="10">
        <v>1</v>
      </c>
      <c r="O49" s="9">
        <v>1</v>
      </c>
      <c r="P49" s="9">
        <v>1</v>
      </c>
      <c r="T49" s="9">
        <v>1</v>
      </c>
    </row>
    <row r="50" spans="2:21" ht="21">
      <c r="B50" s="61"/>
      <c r="C50" s="54"/>
      <c r="D50" s="55"/>
      <c r="E50" s="55"/>
      <c r="F50" s="51"/>
      <c r="G50" s="42"/>
    </row>
    <row r="51" spans="2:21" ht="16">
      <c r="B51" s="101">
        <f>B49</f>
        <v>40</v>
      </c>
      <c r="C51" s="31" t="s">
        <v>219</v>
      </c>
      <c r="D51" s="32" t="s">
        <v>274</v>
      </c>
      <c r="E51" s="32" t="s">
        <v>266</v>
      </c>
      <c r="F51" s="32" t="s">
        <v>495</v>
      </c>
      <c r="G51" s="42"/>
      <c r="I51" s="110">
        <v>1</v>
      </c>
      <c r="J51" s="111">
        <v>1</v>
      </c>
      <c r="K51" s="111">
        <v>1</v>
      </c>
      <c r="L51" s="111">
        <v>1</v>
      </c>
      <c r="M51" s="111">
        <v>1</v>
      </c>
      <c r="N51" s="112">
        <v>1</v>
      </c>
      <c r="O51" s="111">
        <v>1</v>
      </c>
      <c r="P51" s="111">
        <v>1</v>
      </c>
      <c r="Q51" s="111">
        <v>1</v>
      </c>
      <c r="R51" s="112">
        <v>1</v>
      </c>
      <c r="S51" s="111">
        <v>1</v>
      </c>
      <c r="T51" s="111">
        <v>1</v>
      </c>
      <c r="U51" s="112">
        <v>1</v>
      </c>
    </row>
    <row r="52" spans="2:21" ht="272">
      <c r="B52" s="60">
        <f>B51+1</f>
        <v>41</v>
      </c>
      <c r="C52" s="139" t="s">
        <v>445</v>
      </c>
      <c r="D52" s="148">
        <f>'Self-Assessment'!D73</f>
        <v>0</v>
      </c>
      <c r="E52" s="139" t="s">
        <v>286</v>
      </c>
      <c r="F52" s="140"/>
      <c r="G52" s="42"/>
      <c r="I52" s="8">
        <v>1</v>
      </c>
      <c r="L52" s="9">
        <v>1</v>
      </c>
      <c r="O52" s="9">
        <v>1</v>
      </c>
      <c r="P52" s="9">
        <v>1</v>
      </c>
      <c r="S52" s="9">
        <v>1</v>
      </c>
    </row>
    <row r="53" spans="2:21" ht="192">
      <c r="B53" s="60">
        <f t="shared" ref="B53:B60" si="2">B52+1</f>
        <v>42</v>
      </c>
      <c r="C53" s="57" t="s">
        <v>446</v>
      </c>
      <c r="D53" s="107">
        <f>'Self-Assessment'!D74</f>
        <v>0</v>
      </c>
      <c r="E53" s="57" t="s">
        <v>332</v>
      </c>
      <c r="F53" s="83"/>
      <c r="G53" s="42"/>
      <c r="L53" s="9">
        <v>1</v>
      </c>
      <c r="M53" s="9">
        <v>1</v>
      </c>
      <c r="O53" s="9">
        <v>1</v>
      </c>
      <c r="P53" s="9">
        <v>1</v>
      </c>
      <c r="S53" s="9">
        <v>1</v>
      </c>
    </row>
    <row r="54" spans="2:21" ht="144">
      <c r="B54" s="60">
        <f t="shared" si="2"/>
        <v>43</v>
      </c>
      <c r="C54" s="56" t="s">
        <v>254</v>
      </c>
      <c r="D54" s="148">
        <f>'Self-Assessment'!D75</f>
        <v>0</v>
      </c>
      <c r="E54" s="139" t="s">
        <v>333</v>
      </c>
      <c r="F54" s="140"/>
      <c r="G54" s="42"/>
      <c r="L54" s="9">
        <v>1</v>
      </c>
      <c r="O54" s="9">
        <v>1</v>
      </c>
      <c r="P54" s="9">
        <v>1</v>
      </c>
      <c r="U54" s="10">
        <v>1</v>
      </c>
    </row>
    <row r="55" spans="2:21" ht="64">
      <c r="B55" s="60">
        <f t="shared" si="2"/>
        <v>44</v>
      </c>
      <c r="C55" s="57" t="s">
        <v>255</v>
      </c>
      <c r="D55" s="107">
        <f>'Self-Assessment'!D76</f>
        <v>0</v>
      </c>
      <c r="E55" s="57" t="s">
        <v>334</v>
      </c>
      <c r="F55" s="83"/>
      <c r="G55" s="42"/>
      <c r="L55" s="9">
        <v>1</v>
      </c>
      <c r="O55" s="9">
        <v>1</v>
      </c>
      <c r="P55" s="9">
        <v>1</v>
      </c>
      <c r="T55" s="9">
        <v>1</v>
      </c>
    </row>
    <row r="56" spans="2:21" ht="64">
      <c r="B56" s="60">
        <f t="shared" si="2"/>
        <v>45</v>
      </c>
      <c r="C56" s="56" t="s">
        <v>506</v>
      </c>
      <c r="D56" s="148">
        <f>'Self-Assessment'!D77</f>
        <v>0</v>
      </c>
      <c r="E56" s="139" t="s">
        <v>287</v>
      </c>
      <c r="F56" s="140"/>
      <c r="G56" s="42"/>
      <c r="L56" s="9">
        <v>1</v>
      </c>
      <c r="O56" s="9">
        <v>1</v>
      </c>
      <c r="P56" s="9">
        <v>1</v>
      </c>
      <c r="S56" s="9">
        <v>1</v>
      </c>
    </row>
    <row r="57" spans="2:21" ht="304">
      <c r="B57" s="60">
        <f t="shared" si="2"/>
        <v>46</v>
      </c>
      <c r="C57" s="57" t="s">
        <v>426</v>
      </c>
      <c r="D57" s="107">
        <f>'Self-Assessment'!D78</f>
        <v>0</v>
      </c>
      <c r="E57" s="57" t="s">
        <v>288</v>
      </c>
      <c r="F57" s="83"/>
      <c r="G57" s="42"/>
      <c r="L57" s="9">
        <v>1</v>
      </c>
      <c r="O57" s="9">
        <v>1</v>
      </c>
      <c r="P57" s="9">
        <v>1</v>
      </c>
      <c r="U57" s="10">
        <v>1</v>
      </c>
    </row>
    <row r="58" spans="2:21" ht="160">
      <c r="B58" s="60">
        <f t="shared" si="2"/>
        <v>47</v>
      </c>
      <c r="C58" s="56" t="s">
        <v>427</v>
      </c>
      <c r="D58" s="148">
        <f>'Self-Assessment'!D79</f>
        <v>0</v>
      </c>
      <c r="E58" s="139" t="s">
        <v>336</v>
      </c>
      <c r="F58" s="140"/>
      <c r="G58" s="42"/>
      <c r="I58" s="8">
        <v>1</v>
      </c>
      <c r="L58" s="9">
        <v>1</v>
      </c>
      <c r="O58" s="9">
        <v>1</v>
      </c>
      <c r="P58" s="9">
        <v>1</v>
      </c>
      <c r="S58" s="9">
        <v>1</v>
      </c>
    </row>
    <row r="59" spans="2:21" ht="64">
      <c r="B59" s="60">
        <f t="shared" si="2"/>
        <v>48</v>
      </c>
      <c r="C59" s="57" t="s">
        <v>428</v>
      </c>
      <c r="D59" s="107">
        <f>'Self-Assessment'!D81</f>
        <v>0</v>
      </c>
      <c r="E59" s="57" t="s">
        <v>335</v>
      </c>
      <c r="F59" s="83"/>
      <c r="G59" s="42"/>
      <c r="K59" s="9">
        <v>1</v>
      </c>
      <c r="M59" s="9">
        <v>1</v>
      </c>
      <c r="N59" s="10">
        <v>1</v>
      </c>
      <c r="O59" s="9">
        <v>1</v>
      </c>
      <c r="P59" s="9">
        <v>1</v>
      </c>
      <c r="Q59" s="9">
        <v>1</v>
      </c>
      <c r="U59" s="10">
        <v>1</v>
      </c>
    </row>
    <row r="60" spans="2:21" ht="65" thickBot="1">
      <c r="B60" s="60">
        <f t="shared" si="2"/>
        <v>49</v>
      </c>
      <c r="C60" s="143" t="s">
        <v>220</v>
      </c>
      <c r="D60" s="154">
        <f>'Self-Assessment'!D82</f>
        <v>0</v>
      </c>
      <c r="E60" s="59" t="s">
        <v>289</v>
      </c>
      <c r="F60" s="85"/>
      <c r="G60" s="42"/>
      <c r="J60" s="9">
        <v>1</v>
      </c>
      <c r="N60" s="10">
        <v>1</v>
      </c>
      <c r="P60" s="9">
        <v>1</v>
      </c>
      <c r="Q60" s="9">
        <v>1</v>
      </c>
      <c r="S60" s="9">
        <v>1</v>
      </c>
      <c r="U60" s="10">
        <v>1</v>
      </c>
    </row>
    <row r="61" spans="2:21" ht="21">
      <c r="B61" s="39"/>
      <c r="C61" s="54"/>
      <c r="D61" s="55"/>
      <c r="E61" s="55"/>
      <c r="F61" s="51"/>
      <c r="G61" s="42"/>
    </row>
    <row r="62" spans="2:21" ht="16">
      <c r="B62" s="101">
        <f>B60</f>
        <v>49</v>
      </c>
      <c r="C62" s="31" t="s">
        <v>223</v>
      </c>
      <c r="D62" s="32" t="s">
        <v>274</v>
      </c>
      <c r="E62" s="32" t="s">
        <v>266</v>
      </c>
      <c r="F62" s="32" t="s">
        <v>495</v>
      </c>
      <c r="G62" s="42"/>
      <c r="I62" s="110">
        <v>1</v>
      </c>
      <c r="J62" s="111">
        <v>1</v>
      </c>
      <c r="K62" s="111">
        <v>1</v>
      </c>
      <c r="L62" s="111">
        <v>1</v>
      </c>
      <c r="M62" s="111">
        <v>1</v>
      </c>
      <c r="N62" s="112">
        <v>1</v>
      </c>
      <c r="O62" s="111">
        <v>1</v>
      </c>
      <c r="P62" s="111">
        <v>1</v>
      </c>
      <c r="Q62" s="111">
        <v>1</v>
      </c>
      <c r="R62" s="112">
        <v>1</v>
      </c>
      <c r="S62" s="111">
        <v>1</v>
      </c>
      <c r="T62" s="111">
        <v>1</v>
      </c>
      <c r="U62" s="112">
        <v>1</v>
      </c>
    </row>
    <row r="63" spans="2:21" ht="192">
      <c r="B63" s="60">
        <f>B62+1</f>
        <v>50</v>
      </c>
      <c r="C63" s="139" t="s">
        <v>429</v>
      </c>
      <c r="D63" s="148">
        <f>'Self-Assessment'!D85</f>
        <v>0</v>
      </c>
      <c r="E63" s="139" t="s">
        <v>290</v>
      </c>
      <c r="F63" s="140"/>
      <c r="G63" s="42"/>
      <c r="I63" s="8">
        <v>1</v>
      </c>
      <c r="O63" s="9">
        <v>1</v>
      </c>
      <c r="S63" s="9">
        <v>1</v>
      </c>
    </row>
    <row r="64" spans="2:21" ht="128">
      <c r="B64" s="60">
        <f t="shared" ref="B64:B81" si="3">B63+1</f>
        <v>51</v>
      </c>
      <c r="C64" s="57" t="s">
        <v>256</v>
      </c>
      <c r="D64" s="107">
        <f>'Self-Assessment'!D86</f>
        <v>0</v>
      </c>
      <c r="E64" s="57" t="s">
        <v>337</v>
      </c>
      <c r="F64" s="83"/>
      <c r="G64" s="42"/>
      <c r="K64" s="9">
        <v>1</v>
      </c>
      <c r="M64" s="9">
        <v>1</v>
      </c>
      <c r="Q64" s="9">
        <v>1</v>
      </c>
      <c r="T64" s="9">
        <v>1</v>
      </c>
      <c r="U64" s="10">
        <v>1</v>
      </c>
    </row>
    <row r="65" spans="2:21" ht="80">
      <c r="B65" s="60">
        <f t="shared" si="3"/>
        <v>52</v>
      </c>
      <c r="C65" s="56" t="s">
        <v>416</v>
      </c>
      <c r="D65" s="148">
        <f>'Self-Assessment'!D87</f>
        <v>0</v>
      </c>
      <c r="E65" s="139" t="s">
        <v>292</v>
      </c>
      <c r="F65" s="140"/>
      <c r="G65" s="42"/>
      <c r="L65" s="9">
        <v>1</v>
      </c>
      <c r="P65" s="9">
        <v>1</v>
      </c>
      <c r="S65" s="9">
        <v>1</v>
      </c>
    </row>
    <row r="66" spans="2:21" ht="64">
      <c r="B66" s="60">
        <f t="shared" si="3"/>
        <v>53</v>
      </c>
      <c r="C66" s="57" t="s">
        <v>257</v>
      </c>
      <c r="D66" s="107">
        <f>'Self-Assessment'!D88</f>
        <v>0</v>
      </c>
      <c r="E66" s="57" t="s">
        <v>340</v>
      </c>
      <c r="F66" s="83"/>
      <c r="G66" s="42"/>
      <c r="L66" s="9">
        <v>1</v>
      </c>
      <c r="P66" s="9">
        <v>1</v>
      </c>
      <c r="S66" s="9">
        <v>1</v>
      </c>
    </row>
    <row r="67" spans="2:21" ht="80">
      <c r="B67" s="60">
        <f t="shared" si="3"/>
        <v>54</v>
      </c>
      <c r="C67" s="56" t="s">
        <v>447</v>
      </c>
      <c r="D67" s="148">
        <f>'Self-Assessment'!D89</f>
        <v>0</v>
      </c>
      <c r="E67" s="139" t="s">
        <v>341</v>
      </c>
      <c r="F67" s="140"/>
      <c r="G67" s="42"/>
      <c r="L67" s="9">
        <v>1</v>
      </c>
      <c r="O67" s="9">
        <v>1</v>
      </c>
      <c r="U67" s="10">
        <v>1</v>
      </c>
    </row>
    <row r="68" spans="2:21" ht="80">
      <c r="B68" s="60">
        <f t="shared" si="3"/>
        <v>55</v>
      </c>
      <c r="C68" s="57" t="s">
        <v>448</v>
      </c>
      <c r="D68" s="107">
        <f>'Self-Assessment'!D90</f>
        <v>0</v>
      </c>
      <c r="E68" s="57" t="s">
        <v>342</v>
      </c>
      <c r="F68" s="83"/>
      <c r="G68" s="42"/>
      <c r="J68" s="9">
        <v>1</v>
      </c>
      <c r="P68" s="9">
        <v>1</v>
      </c>
      <c r="U68" s="10">
        <v>1</v>
      </c>
    </row>
    <row r="69" spans="2:21" ht="80">
      <c r="B69" s="60">
        <f t="shared" si="3"/>
        <v>56</v>
      </c>
      <c r="C69" s="56" t="s">
        <v>258</v>
      </c>
      <c r="D69" s="148">
        <f>'Self-Assessment'!D91</f>
        <v>0</v>
      </c>
      <c r="E69" s="139" t="s">
        <v>296</v>
      </c>
      <c r="F69" s="140"/>
      <c r="G69" s="42"/>
      <c r="L69" s="9">
        <v>1</v>
      </c>
      <c r="Q69" s="9">
        <v>1</v>
      </c>
      <c r="R69" s="10">
        <v>1</v>
      </c>
      <c r="S69" s="9">
        <v>1</v>
      </c>
      <c r="T69" s="9">
        <v>1</v>
      </c>
      <c r="U69" s="10">
        <v>1</v>
      </c>
    </row>
    <row r="70" spans="2:21" ht="80">
      <c r="B70" s="60">
        <f t="shared" si="3"/>
        <v>57</v>
      </c>
      <c r="C70" s="57" t="s">
        <v>449</v>
      </c>
      <c r="D70" s="107">
        <f>'Self-Assessment'!D92</f>
        <v>0</v>
      </c>
      <c r="E70" s="57" t="s">
        <v>297</v>
      </c>
      <c r="F70" s="83"/>
      <c r="G70" s="42"/>
      <c r="L70" s="9">
        <v>1</v>
      </c>
      <c r="O70" s="9">
        <v>1</v>
      </c>
      <c r="S70" s="9">
        <v>1</v>
      </c>
    </row>
    <row r="71" spans="2:21" ht="64">
      <c r="B71" s="60">
        <f t="shared" si="3"/>
        <v>58</v>
      </c>
      <c r="C71" s="56" t="s">
        <v>259</v>
      </c>
      <c r="D71" s="148">
        <f>'Self-Assessment'!D93</f>
        <v>0</v>
      </c>
      <c r="E71" s="139" t="s">
        <v>343</v>
      </c>
      <c r="F71" s="140"/>
      <c r="G71" s="42"/>
      <c r="K71" s="9">
        <v>1</v>
      </c>
      <c r="L71" s="9">
        <v>1</v>
      </c>
      <c r="O71" s="9">
        <v>1</v>
      </c>
      <c r="Q71" s="9">
        <v>1</v>
      </c>
      <c r="S71" s="9">
        <v>1</v>
      </c>
      <c r="T71" s="9">
        <v>1</v>
      </c>
    </row>
    <row r="72" spans="2:21" ht="64">
      <c r="B72" s="60">
        <f t="shared" si="3"/>
        <v>59</v>
      </c>
      <c r="C72" s="57" t="s">
        <v>260</v>
      </c>
      <c r="D72" s="107">
        <f>'Self-Assessment'!D94</f>
        <v>0</v>
      </c>
      <c r="E72" s="57" t="s">
        <v>298</v>
      </c>
      <c r="F72" s="83"/>
      <c r="G72" s="42"/>
      <c r="K72" s="9">
        <v>1</v>
      </c>
      <c r="P72" s="9">
        <v>1</v>
      </c>
      <c r="U72" s="10">
        <v>1</v>
      </c>
    </row>
    <row r="73" spans="2:21" ht="96">
      <c r="B73" s="60">
        <f t="shared" si="3"/>
        <v>60</v>
      </c>
      <c r="C73" s="56" t="s">
        <v>453</v>
      </c>
      <c r="D73" s="148">
        <f>'Self-Assessment'!D95</f>
        <v>0</v>
      </c>
      <c r="E73" s="139" t="s">
        <v>344</v>
      </c>
      <c r="F73" s="140"/>
      <c r="G73" s="42"/>
      <c r="I73" s="8">
        <v>1</v>
      </c>
      <c r="R73" s="10">
        <v>1</v>
      </c>
      <c r="U73" s="10">
        <v>1</v>
      </c>
    </row>
    <row r="74" spans="2:21" ht="112">
      <c r="B74" s="60">
        <f t="shared" si="3"/>
        <v>61</v>
      </c>
      <c r="C74" s="57" t="s">
        <v>224</v>
      </c>
      <c r="D74" s="107">
        <f>'Self-Assessment'!D97</f>
        <v>0</v>
      </c>
      <c r="E74" s="57" t="s">
        <v>291</v>
      </c>
      <c r="F74" s="83"/>
      <c r="G74" s="42"/>
      <c r="I74" s="8">
        <v>1</v>
      </c>
      <c r="J74" s="9">
        <v>1</v>
      </c>
      <c r="O74" s="9">
        <v>1</v>
      </c>
      <c r="S74" s="9">
        <v>1</v>
      </c>
    </row>
    <row r="75" spans="2:21" ht="64">
      <c r="B75" s="60">
        <f t="shared" si="3"/>
        <v>62</v>
      </c>
      <c r="C75" s="56" t="s">
        <v>225</v>
      </c>
      <c r="D75" s="148">
        <f>'Self-Assessment'!D98</f>
        <v>0</v>
      </c>
      <c r="E75" s="139" t="s">
        <v>338</v>
      </c>
      <c r="F75" s="140"/>
      <c r="G75" s="42"/>
      <c r="M75" s="9">
        <v>1</v>
      </c>
      <c r="O75" s="9">
        <v>1</v>
      </c>
      <c r="P75" s="9">
        <v>1</v>
      </c>
      <c r="S75" s="9">
        <v>1</v>
      </c>
      <c r="T75" s="9">
        <v>1</v>
      </c>
      <c r="U75" s="10">
        <v>1</v>
      </c>
    </row>
    <row r="76" spans="2:21" ht="64">
      <c r="B76" s="60">
        <f t="shared" si="3"/>
        <v>63</v>
      </c>
      <c r="C76" s="57" t="s">
        <v>226</v>
      </c>
      <c r="D76" s="107">
        <f>'Self-Assessment'!D99</f>
        <v>0</v>
      </c>
      <c r="E76" s="57" t="s">
        <v>293</v>
      </c>
      <c r="F76" s="83"/>
      <c r="G76" s="42"/>
      <c r="L76" s="9">
        <v>1</v>
      </c>
      <c r="Q76" s="9">
        <v>1</v>
      </c>
      <c r="R76" s="10">
        <v>1</v>
      </c>
      <c r="S76" s="9">
        <v>1</v>
      </c>
    </row>
    <row r="77" spans="2:21" ht="64">
      <c r="B77" s="60">
        <f t="shared" si="3"/>
        <v>64</v>
      </c>
      <c r="C77" s="56" t="s">
        <v>227</v>
      </c>
      <c r="D77" s="148">
        <f>'Self-Assessment'!D100</f>
        <v>0</v>
      </c>
      <c r="E77" s="139" t="s">
        <v>294</v>
      </c>
      <c r="F77" s="140"/>
      <c r="G77" s="42"/>
      <c r="L77" s="9">
        <v>1</v>
      </c>
      <c r="M77" s="9">
        <v>1</v>
      </c>
      <c r="O77" s="9">
        <v>1</v>
      </c>
      <c r="S77" s="9">
        <v>1</v>
      </c>
    </row>
    <row r="78" spans="2:21" ht="80">
      <c r="B78" s="60">
        <f t="shared" si="3"/>
        <v>65</v>
      </c>
      <c r="C78" s="57" t="s">
        <v>228</v>
      </c>
      <c r="D78" s="107">
        <f>'Self-Assessment'!D101</f>
        <v>0</v>
      </c>
      <c r="E78" s="57" t="s">
        <v>339</v>
      </c>
      <c r="F78" s="83"/>
      <c r="G78" s="42"/>
      <c r="L78" s="9">
        <v>1</v>
      </c>
      <c r="P78" s="9">
        <v>1</v>
      </c>
      <c r="S78" s="9">
        <v>1</v>
      </c>
    </row>
    <row r="79" spans="2:21" ht="64">
      <c r="B79" s="60">
        <f t="shared" si="3"/>
        <v>66</v>
      </c>
      <c r="C79" s="56" t="s">
        <v>229</v>
      </c>
      <c r="D79" s="148">
        <f>'Self-Assessment'!D102</f>
        <v>0</v>
      </c>
      <c r="E79" s="139" t="s">
        <v>295</v>
      </c>
      <c r="F79" s="140"/>
      <c r="G79" s="42"/>
      <c r="L79" s="9">
        <v>1</v>
      </c>
      <c r="R79" s="10">
        <v>1</v>
      </c>
      <c r="S79" s="9">
        <v>1</v>
      </c>
    </row>
    <row r="80" spans="2:21" ht="64">
      <c r="B80" s="60">
        <f t="shared" si="3"/>
        <v>67</v>
      </c>
      <c r="C80" s="57" t="s">
        <v>230</v>
      </c>
      <c r="D80" s="107">
        <f>'Self-Assessment'!D103</f>
        <v>0</v>
      </c>
      <c r="E80" s="57" t="s">
        <v>345</v>
      </c>
      <c r="F80" s="83"/>
      <c r="G80" s="42"/>
      <c r="I80" s="8">
        <v>1</v>
      </c>
      <c r="K80" s="9">
        <v>1</v>
      </c>
      <c r="O80" s="9">
        <v>1</v>
      </c>
      <c r="R80" s="10">
        <v>1</v>
      </c>
      <c r="S80" s="9">
        <v>1</v>
      </c>
    </row>
    <row r="81" spans="2:21" ht="113" thickBot="1">
      <c r="B81" s="60">
        <f t="shared" si="3"/>
        <v>68</v>
      </c>
      <c r="C81" s="143" t="s">
        <v>431</v>
      </c>
      <c r="D81" s="154">
        <f>'Self-Assessment'!D104</f>
        <v>0</v>
      </c>
      <c r="E81" s="59" t="s">
        <v>299</v>
      </c>
      <c r="F81" s="85"/>
      <c r="G81" s="42"/>
      <c r="I81" s="8">
        <v>1</v>
      </c>
      <c r="L81" s="9">
        <v>1</v>
      </c>
      <c r="R81" s="10">
        <v>1</v>
      </c>
      <c r="S81" s="9">
        <v>1</v>
      </c>
      <c r="U81" s="10">
        <v>1</v>
      </c>
    </row>
    <row r="82" spans="2:21" ht="21">
      <c r="B82" s="39"/>
      <c r="C82" s="54"/>
      <c r="D82" s="55"/>
      <c r="E82" s="55"/>
      <c r="G82" s="42"/>
    </row>
    <row r="83" spans="2:21" ht="16">
      <c r="B83" s="101">
        <f>B81</f>
        <v>68</v>
      </c>
      <c r="C83" s="31" t="s">
        <v>231</v>
      </c>
      <c r="D83" s="32" t="s">
        <v>274</v>
      </c>
      <c r="E83" s="32" t="s">
        <v>266</v>
      </c>
      <c r="F83" s="32" t="s">
        <v>495</v>
      </c>
      <c r="G83" s="42"/>
      <c r="I83" s="110">
        <v>1</v>
      </c>
      <c r="J83" s="111">
        <v>1</v>
      </c>
      <c r="K83" s="111">
        <v>1</v>
      </c>
      <c r="L83" s="111">
        <v>1</v>
      </c>
      <c r="M83" s="111">
        <v>1</v>
      </c>
      <c r="N83" s="112">
        <v>1</v>
      </c>
      <c r="O83" s="111">
        <v>1</v>
      </c>
      <c r="P83" s="111">
        <v>1</v>
      </c>
      <c r="Q83" s="111">
        <v>1</v>
      </c>
      <c r="R83" s="112">
        <v>1</v>
      </c>
      <c r="S83" s="111">
        <v>1</v>
      </c>
      <c r="T83" s="111">
        <v>1</v>
      </c>
      <c r="U83" s="112">
        <v>1</v>
      </c>
    </row>
    <row r="84" spans="2:21" ht="160">
      <c r="B84" s="62">
        <f>B83+1</f>
        <v>69</v>
      </c>
      <c r="C84" s="139" t="s">
        <v>261</v>
      </c>
      <c r="D84" s="148">
        <f>'Self-Assessment'!D107</f>
        <v>0</v>
      </c>
      <c r="E84" s="139" t="s">
        <v>346</v>
      </c>
      <c r="F84" s="140"/>
      <c r="G84" s="42"/>
      <c r="I84" s="8">
        <v>1</v>
      </c>
      <c r="J84" s="9">
        <v>1</v>
      </c>
      <c r="L84" s="9">
        <v>1</v>
      </c>
      <c r="N84" s="10">
        <v>1</v>
      </c>
      <c r="O84" s="9">
        <v>1</v>
      </c>
      <c r="P84" s="9">
        <v>1</v>
      </c>
      <c r="U84" s="10">
        <v>1</v>
      </c>
    </row>
    <row r="85" spans="2:21" ht="80">
      <c r="B85" s="62">
        <f t="shared" ref="B85:B95" si="4">B84+1</f>
        <v>70</v>
      </c>
      <c r="C85" s="57" t="s">
        <v>262</v>
      </c>
      <c r="D85" s="107">
        <f>'Self-Assessment'!D108</f>
        <v>0</v>
      </c>
      <c r="E85" s="57" t="s">
        <v>347</v>
      </c>
      <c r="F85" s="83"/>
      <c r="G85" s="42"/>
      <c r="K85" s="9">
        <v>1</v>
      </c>
      <c r="M85" s="9">
        <v>1</v>
      </c>
      <c r="N85" s="10">
        <v>1</v>
      </c>
      <c r="P85" s="9">
        <v>1</v>
      </c>
      <c r="R85" s="10">
        <v>1</v>
      </c>
      <c r="U85" s="10">
        <v>1</v>
      </c>
    </row>
    <row r="86" spans="2:21" ht="144">
      <c r="B86" s="62">
        <f t="shared" si="4"/>
        <v>71</v>
      </c>
      <c r="C86" s="139" t="s">
        <v>263</v>
      </c>
      <c r="D86" s="148">
        <f>'Self-Assessment'!D109</f>
        <v>0</v>
      </c>
      <c r="E86" s="139" t="s">
        <v>300</v>
      </c>
      <c r="F86" s="140"/>
      <c r="G86" s="42"/>
      <c r="K86" s="9">
        <v>1</v>
      </c>
      <c r="P86" s="9">
        <v>1</v>
      </c>
      <c r="U86" s="10">
        <v>1</v>
      </c>
    </row>
    <row r="87" spans="2:21" ht="64">
      <c r="B87" s="62">
        <f t="shared" si="4"/>
        <v>72</v>
      </c>
      <c r="C87" s="57" t="s">
        <v>264</v>
      </c>
      <c r="D87" s="107">
        <f>'Self-Assessment'!D110</f>
        <v>0</v>
      </c>
      <c r="E87" s="57" t="s">
        <v>349</v>
      </c>
      <c r="F87" s="83"/>
      <c r="G87" s="42"/>
      <c r="I87" s="8">
        <v>1</v>
      </c>
      <c r="L87" s="9">
        <v>1</v>
      </c>
      <c r="R87" s="10">
        <v>1</v>
      </c>
      <c r="U87" s="10">
        <v>1</v>
      </c>
    </row>
    <row r="88" spans="2:21" ht="80">
      <c r="B88" s="62">
        <f t="shared" si="4"/>
        <v>73</v>
      </c>
      <c r="C88" s="139" t="s">
        <v>430</v>
      </c>
      <c r="D88" s="148">
        <f>'Self-Assessment'!D111</f>
        <v>0</v>
      </c>
      <c r="E88" s="139" t="s">
        <v>351</v>
      </c>
      <c r="F88" s="140"/>
      <c r="G88" s="42"/>
      <c r="J88" s="9">
        <v>1</v>
      </c>
      <c r="R88" s="10">
        <v>1</v>
      </c>
      <c r="T88" s="9">
        <v>1</v>
      </c>
    </row>
    <row r="89" spans="2:21" ht="80">
      <c r="B89" s="62">
        <f t="shared" si="4"/>
        <v>74</v>
      </c>
      <c r="C89" s="57" t="s">
        <v>265</v>
      </c>
      <c r="D89" s="107">
        <f>'Self-Assessment'!D112</f>
        <v>0</v>
      </c>
      <c r="E89" s="57" t="s">
        <v>352</v>
      </c>
      <c r="F89" s="83"/>
      <c r="G89" s="42"/>
      <c r="M89" s="9">
        <v>1</v>
      </c>
      <c r="P89" s="9">
        <v>1</v>
      </c>
      <c r="Q89" s="9">
        <v>1</v>
      </c>
      <c r="U89" s="10">
        <v>1</v>
      </c>
    </row>
    <row r="90" spans="2:21" ht="112">
      <c r="B90" s="62">
        <f t="shared" si="4"/>
        <v>75</v>
      </c>
      <c r="C90" s="139" t="s">
        <v>232</v>
      </c>
      <c r="D90" s="148">
        <f>'Self-Assessment'!D114</f>
        <v>0</v>
      </c>
      <c r="E90" s="139" t="s">
        <v>348</v>
      </c>
      <c r="F90" s="140"/>
      <c r="G90" s="42"/>
      <c r="I90" s="8">
        <v>1</v>
      </c>
      <c r="O90" s="9">
        <v>1</v>
      </c>
      <c r="U90" s="10">
        <v>1</v>
      </c>
    </row>
    <row r="91" spans="2:21" ht="64">
      <c r="B91" s="62">
        <f t="shared" si="4"/>
        <v>76</v>
      </c>
      <c r="C91" s="57" t="s">
        <v>233</v>
      </c>
      <c r="D91" s="107">
        <f>'Self-Assessment'!D115</f>
        <v>0</v>
      </c>
      <c r="E91" s="57" t="s">
        <v>301</v>
      </c>
      <c r="F91" s="83"/>
      <c r="G91" s="42"/>
      <c r="J91" s="9">
        <v>1</v>
      </c>
      <c r="R91" s="10">
        <v>1</v>
      </c>
      <c r="U91" s="10">
        <v>1</v>
      </c>
    </row>
    <row r="92" spans="2:21" ht="80">
      <c r="B92" s="62">
        <f t="shared" si="4"/>
        <v>77</v>
      </c>
      <c r="C92" s="139" t="s">
        <v>234</v>
      </c>
      <c r="D92" s="148">
        <f>'Self-Assessment'!D116</f>
        <v>0</v>
      </c>
      <c r="E92" s="139" t="s">
        <v>350</v>
      </c>
      <c r="F92" s="140"/>
      <c r="G92" s="42"/>
      <c r="M92" s="9">
        <v>1</v>
      </c>
      <c r="R92" s="10">
        <v>1</v>
      </c>
      <c r="U92" s="10">
        <v>1</v>
      </c>
    </row>
    <row r="93" spans="2:21" ht="80">
      <c r="B93" s="62">
        <f t="shared" si="4"/>
        <v>78</v>
      </c>
      <c r="C93" s="57" t="s">
        <v>432</v>
      </c>
      <c r="D93" s="107">
        <f>'Self-Assessment'!D117</f>
        <v>0</v>
      </c>
      <c r="E93" s="57" t="s">
        <v>353</v>
      </c>
      <c r="F93" s="83"/>
      <c r="G93" s="42"/>
      <c r="J93" s="9">
        <v>1</v>
      </c>
      <c r="R93" s="10">
        <v>1</v>
      </c>
      <c r="U93" s="10">
        <v>1</v>
      </c>
    </row>
    <row r="94" spans="2:21" ht="96">
      <c r="B94" s="62">
        <f t="shared" si="4"/>
        <v>79</v>
      </c>
      <c r="C94" s="139" t="s">
        <v>452</v>
      </c>
      <c r="D94" s="148">
        <f>'Self-Assessment'!D118</f>
        <v>0</v>
      </c>
      <c r="E94" s="139" t="s">
        <v>354</v>
      </c>
      <c r="F94" s="140"/>
      <c r="G94" s="42"/>
      <c r="K94" s="9">
        <v>1</v>
      </c>
      <c r="R94" s="10">
        <v>1</v>
      </c>
      <c r="S94" s="9">
        <v>1</v>
      </c>
    </row>
    <row r="95" spans="2:21" ht="97" thickBot="1">
      <c r="B95" s="62">
        <f t="shared" si="4"/>
        <v>80</v>
      </c>
      <c r="C95" s="58" t="s">
        <v>433</v>
      </c>
      <c r="D95" s="108">
        <f>'Self-Assessment'!D119</f>
        <v>0</v>
      </c>
      <c r="E95" s="58" t="s">
        <v>355</v>
      </c>
      <c r="F95" s="84"/>
      <c r="G95" s="42"/>
      <c r="J95" s="9">
        <v>1</v>
      </c>
      <c r="R95" s="10">
        <v>1</v>
      </c>
      <c r="U95" s="10">
        <v>1</v>
      </c>
    </row>
    <row r="96" spans="2:21" ht="16">
      <c r="B96" s="63"/>
      <c r="C96" s="64"/>
      <c r="D96" s="65"/>
      <c r="E96" s="65"/>
      <c r="F96" s="147"/>
      <c r="G96" s="66"/>
    </row>
    <row r="97" spans="1:21" s="12" customFormat="1" ht="16">
      <c r="A97" s="4"/>
      <c r="C97" s="17"/>
      <c r="D97" s="9"/>
      <c r="E97" s="9"/>
      <c r="H97" s="4"/>
      <c r="I97" s="9"/>
      <c r="J97" s="9"/>
      <c r="K97" s="9"/>
      <c r="L97" s="9"/>
      <c r="M97" s="9"/>
      <c r="N97" s="9"/>
      <c r="O97" s="9"/>
      <c r="P97" s="9"/>
      <c r="Q97" s="9"/>
      <c r="R97" s="9"/>
      <c r="S97" s="9"/>
      <c r="T97" s="9"/>
      <c r="U97" s="9"/>
    </row>
    <row r="98" spans="1:21" ht="16" hidden="1">
      <c r="B98" s="52"/>
      <c r="F98" s="53"/>
      <c r="G98" s="53"/>
    </row>
    <row r="99" spans="1:21" ht="16" hidden="1">
      <c r="B99" s="52"/>
      <c r="F99" s="53"/>
      <c r="G99" s="53"/>
    </row>
    <row r="100" spans="1:21" ht="16" hidden="1">
      <c r="B100" s="52"/>
      <c r="F100" s="53"/>
      <c r="G100" s="53"/>
    </row>
    <row r="101" spans="1:21" ht="16" hidden="1" customHeight="1"/>
    <row r="102" spans="1:21" ht="16" hidden="1" customHeight="1"/>
    <row r="103" spans="1:21" ht="16" hidden="1" customHeight="1"/>
    <row r="104" spans="1:21" ht="16" hidden="1" customHeight="1"/>
    <row r="105" spans="1:21" ht="16" hidden="1" customHeight="1"/>
    <row r="106" spans="1:21" ht="16" hidden="1" customHeight="1"/>
    <row r="107" spans="1:21" ht="16" hidden="1" customHeight="1"/>
    <row r="108" spans="1:21" ht="16" hidden="1" customHeight="1"/>
    <row r="109" spans="1:21" ht="16" hidden="1" customHeight="1"/>
    <row r="110" spans="1:21" ht="16" hidden="1" customHeight="1"/>
    <row r="111" spans="1:21" ht="16" hidden="1" customHeight="1"/>
    <row r="112" spans="1:21" ht="16" hidden="1" customHeight="1"/>
    <row r="113" ht="16" hidden="1" customHeight="1"/>
    <row r="114" ht="16" hidden="1" customHeight="1"/>
    <row r="115" ht="16" hidden="1" customHeight="1"/>
    <row r="116" ht="16" hidden="1" customHeight="1"/>
    <row r="117" ht="16" hidden="1" customHeight="1"/>
    <row r="118" ht="16" hidden="1" customHeight="1"/>
    <row r="119" ht="16" hidden="1" customHeight="1"/>
    <row r="120" ht="16" hidden="1" customHeight="1"/>
    <row r="121" ht="16" hidden="1" customHeight="1"/>
    <row r="122" ht="16" hidden="1" customHeight="1"/>
    <row r="123" ht="16" hidden="1" customHeight="1"/>
  </sheetData>
  <sheetProtection sheet="1" autoFilter="0"/>
  <autoFilter ref="B7:U95" xr:uid="{049A865B-42F4-DF45-BC0A-F128E7564194}"/>
  <mergeCells count="7">
    <mergeCell ref="C3:E3"/>
    <mergeCell ref="C4:E4"/>
    <mergeCell ref="I6:N6"/>
    <mergeCell ref="O6:R6"/>
    <mergeCell ref="S6:U6"/>
    <mergeCell ref="C5:E5"/>
    <mergeCell ref="C6:E6"/>
  </mergeCells>
  <dataValidations count="1">
    <dataValidation type="decimal" allowBlank="1" showInputMessage="1" showErrorMessage="1" sqref="D35:D49 D52:D59 D63:D80 D84:D95 D8:D32" xr:uid="{AF79D217-4D3C-D84D-8C19-CB1FE26B1C66}">
      <formula1>0</formula1>
      <formula2>3</formula2>
    </dataValidation>
  </dataValidations>
  <pageMargins left="0.7" right="0.7" top="0.75" bottom="0.75" header="0.3" footer="0.3"/>
  <pageSetup scale="39" fitToHeight="2" orientation="portrait" horizontalDpi="0" verticalDpi="0"/>
  <rowBreaks count="6" manualBreakCount="6">
    <brk id="11" max="7" man="1"/>
    <brk id="18" max="7" man="1"/>
    <brk id="33" max="5" man="1"/>
    <brk id="49" max="7" man="1"/>
    <brk id="61" max="5" man="1"/>
    <brk id="82" max="5" man="1"/>
  </rowBreaks>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7816ED-796A-0E41-9E80-F14C980D10FA}">
  <sheetPr codeName="Sheet5"/>
  <dimension ref="A1:J42"/>
  <sheetViews>
    <sheetView view="pageBreakPreview" zoomScale="60" zoomScaleNormal="100" workbookViewId="0"/>
  </sheetViews>
  <sheetFormatPr baseColWidth="10" defaultColWidth="0" defaultRowHeight="16" zeroHeight="1"/>
  <cols>
    <col min="1" max="1" width="2.5" style="4" customWidth="1"/>
    <col min="2" max="2" width="2.5" style="5" customWidth="1"/>
    <col min="3" max="3" width="93.83203125" style="6" customWidth="1"/>
    <col min="4" max="4" width="2.5" style="5" customWidth="1"/>
    <col min="5" max="5" width="2.5" style="4" customWidth="1"/>
    <col min="6" max="6" width="2.5" style="5" customWidth="1"/>
    <col min="7" max="7" width="25.1640625" style="2" customWidth="1"/>
    <col min="8" max="8" width="50" style="2" customWidth="1"/>
    <col min="9" max="9" width="2.5" style="5" customWidth="1"/>
    <col min="10" max="10" width="2.5" style="4" customWidth="1"/>
    <col min="11" max="16384" width="10.83203125" style="5" hidden="1"/>
  </cols>
  <sheetData>
    <row r="1" spans="1:10">
      <c r="A1" s="2"/>
      <c r="B1" s="2"/>
      <c r="C1" s="2"/>
      <c r="D1" s="3"/>
      <c r="E1" s="2"/>
      <c r="F1" s="2"/>
      <c r="I1" s="3"/>
      <c r="J1" s="2"/>
    </row>
    <row r="2" spans="1:10" ht="17" thickBot="1">
      <c r="B2" s="38"/>
      <c r="C2" s="37"/>
      <c r="D2" s="41"/>
      <c r="F2" s="38"/>
      <c r="G2" s="37"/>
      <c r="H2" s="37"/>
      <c r="I2" s="41"/>
    </row>
    <row r="3" spans="1:10" ht="73" customHeight="1" thickBot="1">
      <c r="B3" s="39"/>
      <c r="C3" s="129" t="s">
        <v>1</v>
      </c>
      <c r="D3" s="42"/>
      <c r="F3" s="39"/>
      <c r="G3" s="217" t="s">
        <v>487</v>
      </c>
      <c r="H3" s="218"/>
      <c r="I3" s="42"/>
    </row>
    <row r="4" spans="1:10" ht="19">
      <c r="B4" s="39"/>
      <c r="C4" s="45" t="s">
        <v>209</v>
      </c>
      <c r="D4" s="42"/>
      <c r="F4" s="39"/>
      <c r="G4" s="51"/>
      <c r="H4" s="51"/>
      <c r="I4" s="42"/>
    </row>
    <row r="5" spans="1:10" ht="64">
      <c r="B5" s="39"/>
      <c r="C5" s="54" t="s">
        <v>14</v>
      </c>
      <c r="D5" s="42"/>
      <c r="F5" s="39"/>
      <c r="G5" s="57" t="s">
        <v>455</v>
      </c>
      <c r="H5" s="57" t="s">
        <v>477</v>
      </c>
      <c r="I5" s="42"/>
    </row>
    <row r="6" spans="1:10" ht="48">
      <c r="B6" s="39"/>
      <c r="C6" s="94" t="s">
        <v>2</v>
      </c>
      <c r="D6" s="42"/>
      <c r="F6" s="39"/>
      <c r="G6" s="56" t="s">
        <v>400</v>
      </c>
      <c r="H6" s="56" t="s">
        <v>471</v>
      </c>
      <c r="I6" s="42"/>
    </row>
    <row r="7" spans="1:10" s="90" customFormat="1" ht="96">
      <c r="A7" s="87"/>
      <c r="B7" s="88"/>
      <c r="C7" s="86" t="s">
        <v>32</v>
      </c>
      <c r="D7" s="98"/>
      <c r="E7" s="91"/>
      <c r="F7" s="88"/>
      <c r="G7" s="57" t="s">
        <v>396</v>
      </c>
      <c r="H7" s="57" t="s">
        <v>467</v>
      </c>
      <c r="I7" s="98"/>
      <c r="J7" s="91"/>
    </row>
    <row r="8" spans="1:10" s="90" customFormat="1" ht="48">
      <c r="A8" s="87"/>
      <c r="B8" s="88"/>
      <c r="C8" s="94" t="s">
        <v>3</v>
      </c>
      <c r="D8" s="99"/>
      <c r="E8" s="92"/>
      <c r="F8" s="88"/>
      <c r="G8" s="56" t="s">
        <v>401</v>
      </c>
      <c r="H8" s="56" t="s">
        <v>488</v>
      </c>
      <c r="I8" s="99"/>
      <c r="J8" s="92"/>
    </row>
    <row r="9" spans="1:10" s="90" customFormat="1" ht="128">
      <c r="A9" s="87"/>
      <c r="B9" s="88"/>
      <c r="C9" s="86" t="s">
        <v>34</v>
      </c>
      <c r="D9" s="89"/>
      <c r="E9" s="87"/>
      <c r="F9" s="88"/>
      <c r="G9" s="57" t="s">
        <v>460</v>
      </c>
      <c r="H9" s="57" t="s">
        <v>461</v>
      </c>
      <c r="I9" s="89"/>
      <c r="J9" s="87"/>
    </row>
    <row r="10" spans="1:10" s="90" customFormat="1" ht="48">
      <c r="A10" s="87"/>
      <c r="B10" s="88"/>
      <c r="C10" s="94" t="s">
        <v>4</v>
      </c>
      <c r="D10" s="98"/>
      <c r="E10" s="91"/>
      <c r="F10" s="88"/>
      <c r="G10" s="56" t="s">
        <v>390</v>
      </c>
      <c r="H10" s="56" t="s">
        <v>457</v>
      </c>
      <c r="I10" s="98"/>
      <c r="J10" s="91"/>
    </row>
    <row r="11" spans="1:10" s="90" customFormat="1" ht="176">
      <c r="A11" s="87"/>
      <c r="B11" s="88"/>
      <c r="C11" s="86" t="s">
        <v>35</v>
      </c>
      <c r="D11" s="99"/>
      <c r="E11" s="92"/>
      <c r="F11" s="88"/>
      <c r="G11" s="57" t="s">
        <v>393</v>
      </c>
      <c r="H11" s="57" t="s">
        <v>462</v>
      </c>
      <c r="I11" s="99"/>
      <c r="J11" s="92"/>
    </row>
    <row r="12" spans="1:10" s="90" customFormat="1" ht="48">
      <c r="A12" s="87"/>
      <c r="B12" s="88"/>
      <c r="C12" s="94" t="s">
        <v>245</v>
      </c>
      <c r="D12" s="89"/>
      <c r="E12" s="87"/>
      <c r="F12" s="88"/>
      <c r="G12" s="56" t="s">
        <v>408</v>
      </c>
      <c r="H12" s="56" t="s">
        <v>481</v>
      </c>
      <c r="I12" s="89"/>
      <c r="J12" s="87"/>
    </row>
    <row r="13" spans="1:10" s="90" customFormat="1" ht="160">
      <c r="A13" s="87"/>
      <c r="B13" s="88"/>
      <c r="C13" s="86" t="s">
        <v>38</v>
      </c>
      <c r="D13" s="98"/>
      <c r="E13" s="91"/>
      <c r="F13" s="88"/>
      <c r="G13" s="57" t="s">
        <v>394</v>
      </c>
      <c r="H13" s="57" t="s">
        <v>489</v>
      </c>
      <c r="I13" s="98"/>
      <c r="J13" s="91"/>
    </row>
    <row r="14" spans="1:10" s="90" customFormat="1" ht="48">
      <c r="A14" s="87"/>
      <c r="B14" s="88"/>
      <c r="C14" s="94" t="s">
        <v>5</v>
      </c>
      <c r="D14" s="99"/>
      <c r="E14" s="92"/>
      <c r="F14" s="88"/>
      <c r="G14" s="56" t="s">
        <v>402</v>
      </c>
      <c r="H14" s="56" t="s">
        <v>472</v>
      </c>
      <c r="I14" s="99"/>
      <c r="J14" s="92"/>
    </row>
    <row r="15" spans="1:10" s="90" customFormat="1" ht="160">
      <c r="A15" s="87"/>
      <c r="B15" s="88"/>
      <c r="C15" s="86" t="s">
        <v>36</v>
      </c>
      <c r="D15" s="89"/>
      <c r="E15" s="87"/>
      <c r="F15" s="88"/>
      <c r="G15" s="57" t="s">
        <v>399</v>
      </c>
      <c r="H15" s="57" t="s">
        <v>470</v>
      </c>
      <c r="I15" s="89"/>
      <c r="J15" s="87"/>
    </row>
    <row r="16" spans="1:10" s="90" customFormat="1" ht="48">
      <c r="A16" s="87"/>
      <c r="B16" s="88"/>
      <c r="C16" s="94" t="s">
        <v>6</v>
      </c>
      <c r="D16" s="98"/>
      <c r="E16" s="91"/>
      <c r="F16" s="88"/>
      <c r="G16" s="56" t="s">
        <v>407</v>
      </c>
      <c r="H16" s="56" t="s">
        <v>479</v>
      </c>
      <c r="I16" s="98"/>
      <c r="J16" s="91"/>
    </row>
    <row r="17" spans="1:10" s="90" customFormat="1" ht="160">
      <c r="A17" s="87"/>
      <c r="B17" s="88"/>
      <c r="C17" s="86" t="s">
        <v>37</v>
      </c>
      <c r="D17" s="99"/>
      <c r="E17" s="92"/>
      <c r="F17" s="88"/>
      <c r="G17" s="57" t="s">
        <v>486</v>
      </c>
      <c r="H17" s="57" t="s">
        <v>490</v>
      </c>
      <c r="I17" s="99"/>
      <c r="J17" s="92"/>
    </row>
    <row r="18" spans="1:10" s="90" customFormat="1" ht="48">
      <c r="A18" s="87"/>
      <c r="B18" s="88"/>
      <c r="C18" s="95" t="s">
        <v>15</v>
      </c>
      <c r="D18" s="89"/>
      <c r="E18" s="87"/>
      <c r="F18" s="88"/>
      <c r="G18" s="56" t="s">
        <v>403</v>
      </c>
      <c r="H18" s="56" t="s">
        <v>473</v>
      </c>
      <c r="I18" s="89"/>
      <c r="J18" s="87"/>
    </row>
    <row r="19" spans="1:10" s="90" customFormat="1" ht="48">
      <c r="A19" s="87"/>
      <c r="B19" s="88"/>
      <c r="C19" s="96" t="s">
        <v>236</v>
      </c>
      <c r="D19" s="98"/>
      <c r="E19" s="91"/>
      <c r="F19" s="88"/>
      <c r="G19" s="57" t="s">
        <v>410</v>
      </c>
      <c r="H19" s="57" t="s">
        <v>483</v>
      </c>
      <c r="I19" s="98"/>
      <c r="J19" s="91"/>
    </row>
    <row r="20" spans="1:10" s="90" customFormat="1" ht="48">
      <c r="A20" s="87"/>
      <c r="B20" s="88"/>
      <c r="C20" s="97" t="s">
        <v>237</v>
      </c>
      <c r="D20" s="99"/>
      <c r="E20" s="92"/>
      <c r="F20" s="88"/>
      <c r="G20" s="56" t="s">
        <v>409</v>
      </c>
      <c r="H20" s="56" t="s">
        <v>482</v>
      </c>
      <c r="I20" s="99"/>
      <c r="J20" s="92"/>
    </row>
    <row r="21" spans="1:10" s="90" customFormat="1" ht="48">
      <c r="A21" s="87"/>
      <c r="B21" s="88"/>
      <c r="C21" s="96" t="s">
        <v>26</v>
      </c>
      <c r="D21" s="99"/>
      <c r="E21" s="93"/>
      <c r="F21" s="88"/>
      <c r="G21" s="57" t="s">
        <v>404</v>
      </c>
      <c r="H21" s="57" t="s">
        <v>474</v>
      </c>
      <c r="I21" s="99"/>
      <c r="J21" s="93"/>
    </row>
    <row r="22" spans="1:10" s="90" customFormat="1" ht="64">
      <c r="A22" s="87"/>
      <c r="B22" s="88"/>
      <c r="C22" s="97" t="s">
        <v>238</v>
      </c>
      <c r="D22" s="98"/>
      <c r="E22" s="91"/>
      <c r="F22" s="88"/>
      <c r="G22" s="56" t="s">
        <v>389</v>
      </c>
      <c r="H22" s="56" t="s">
        <v>456</v>
      </c>
      <c r="I22" s="98"/>
      <c r="J22" s="91"/>
    </row>
    <row r="23" spans="1:10" s="90" customFormat="1" ht="244" customHeight="1">
      <c r="A23" s="87"/>
      <c r="B23" s="88"/>
      <c r="C23" s="96" t="s">
        <v>239</v>
      </c>
      <c r="D23" s="99"/>
      <c r="E23" s="92"/>
      <c r="F23" s="88"/>
      <c r="G23" s="57" t="s">
        <v>493</v>
      </c>
      <c r="H23" s="57" t="s">
        <v>494</v>
      </c>
      <c r="I23" s="99"/>
      <c r="J23" s="92"/>
    </row>
    <row r="24" spans="1:10" s="90" customFormat="1" ht="64">
      <c r="A24" s="87"/>
      <c r="B24" s="88"/>
      <c r="C24" s="97" t="s">
        <v>240</v>
      </c>
      <c r="D24" s="100"/>
      <c r="E24" s="93"/>
      <c r="F24" s="88"/>
      <c r="G24" s="56" t="s">
        <v>405</v>
      </c>
      <c r="H24" s="56" t="s">
        <v>475</v>
      </c>
      <c r="I24" s="100"/>
      <c r="J24" s="93"/>
    </row>
    <row r="25" spans="1:10" s="90" customFormat="1" ht="48">
      <c r="A25" s="87"/>
      <c r="B25" s="88"/>
      <c r="C25" s="96" t="s">
        <v>28</v>
      </c>
      <c r="D25" s="89"/>
      <c r="E25" s="87"/>
      <c r="F25" s="88"/>
      <c r="G25" s="57" t="s">
        <v>411</v>
      </c>
      <c r="H25" s="57" t="s">
        <v>484</v>
      </c>
      <c r="I25" s="89"/>
      <c r="J25" s="87"/>
    </row>
    <row r="26" spans="1:10" s="90" customFormat="1" ht="64">
      <c r="A26" s="87"/>
      <c r="B26" s="88"/>
      <c r="C26" s="97" t="s">
        <v>241</v>
      </c>
      <c r="D26" s="89"/>
      <c r="E26" s="87"/>
      <c r="F26" s="88"/>
      <c r="G26" s="56" t="s">
        <v>391</v>
      </c>
      <c r="H26" s="56" t="s">
        <v>458</v>
      </c>
      <c r="I26" s="89"/>
      <c r="J26" s="87"/>
    </row>
    <row r="27" spans="1:10" s="90" customFormat="1" ht="48">
      <c r="A27" s="87"/>
      <c r="B27" s="88"/>
      <c r="C27" s="95" t="s">
        <v>20</v>
      </c>
      <c r="D27" s="89"/>
      <c r="E27" s="87"/>
      <c r="F27" s="88"/>
      <c r="G27" s="57" t="s">
        <v>392</v>
      </c>
      <c r="H27" s="57" t="s">
        <v>450</v>
      </c>
      <c r="I27" s="89"/>
      <c r="J27" s="87"/>
    </row>
    <row r="28" spans="1:10" s="90" customFormat="1" ht="64">
      <c r="A28" s="87"/>
      <c r="B28" s="88"/>
      <c r="C28" s="96" t="s">
        <v>29</v>
      </c>
      <c r="D28" s="89"/>
      <c r="E28" s="87"/>
      <c r="F28" s="88"/>
      <c r="G28" s="56" t="s">
        <v>395</v>
      </c>
      <c r="H28" s="56" t="s">
        <v>464</v>
      </c>
      <c r="I28" s="89"/>
      <c r="J28" s="87"/>
    </row>
    <row r="29" spans="1:10" s="90" customFormat="1" ht="80">
      <c r="A29" s="87"/>
      <c r="B29" s="88"/>
      <c r="C29" s="97" t="s">
        <v>242</v>
      </c>
      <c r="D29" s="89"/>
      <c r="E29" s="87"/>
      <c r="F29" s="88"/>
      <c r="G29" s="57" t="s">
        <v>397</v>
      </c>
      <c r="H29" s="57" t="s">
        <v>468</v>
      </c>
      <c r="I29" s="89"/>
      <c r="J29" s="87"/>
    </row>
    <row r="30" spans="1:10" s="90" customFormat="1" ht="48">
      <c r="A30" s="87"/>
      <c r="B30" s="88"/>
      <c r="C30" s="96" t="s">
        <v>30</v>
      </c>
      <c r="D30" s="89"/>
      <c r="E30" s="87"/>
      <c r="F30" s="88"/>
      <c r="G30" s="56" t="s">
        <v>412</v>
      </c>
      <c r="H30" s="56" t="s">
        <v>485</v>
      </c>
      <c r="I30" s="89"/>
      <c r="J30" s="87"/>
    </row>
    <row r="31" spans="1:10" s="90" customFormat="1" ht="96">
      <c r="A31" s="87"/>
      <c r="B31" s="88"/>
      <c r="C31" s="97" t="s">
        <v>243</v>
      </c>
      <c r="D31" s="89"/>
      <c r="E31" s="87"/>
      <c r="F31" s="88"/>
      <c r="G31" s="57" t="s">
        <v>491</v>
      </c>
      <c r="H31" s="57" t="s">
        <v>478</v>
      </c>
      <c r="I31" s="89"/>
      <c r="J31" s="87"/>
    </row>
    <row r="32" spans="1:10" s="90" customFormat="1" ht="48">
      <c r="A32" s="87"/>
      <c r="B32" s="88"/>
      <c r="C32" s="96" t="s">
        <v>31</v>
      </c>
      <c r="D32" s="89"/>
      <c r="E32" s="87"/>
      <c r="F32" s="88"/>
      <c r="G32" s="56" t="s">
        <v>451</v>
      </c>
      <c r="H32" s="56" t="s">
        <v>459</v>
      </c>
      <c r="I32" s="89"/>
      <c r="J32" s="87"/>
    </row>
    <row r="33" spans="1:10" s="90" customFormat="1" ht="80">
      <c r="A33" s="87"/>
      <c r="B33" s="88"/>
      <c r="C33" s="86" t="s">
        <v>244</v>
      </c>
      <c r="D33" s="89"/>
      <c r="E33" s="87"/>
      <c r="F33" s="88"/>
      <c r="G33" s="57" t="s">
        <v>398</v>
      </c>
      <c r="H33" s="57" t="s">
        <v>469</v>
      </c>
      <c r="I33" s="89"/>
      <c r="J33" s="87"/>
    </row>
    <row r="34" spans="1:10" s="90" customFormat="1" ht="48">
      <c r="A34" s="87"/>
      <c r="B34" s="88"/>
      <c r="C34" s="146"/>
      <c r="D34" s="89"/>
      <c r="E34" s="87"/>
      <c r="F34" s="88"/>
      <c r="G34" s="56" t="s">
        <v>406</v>
      </c>
      <c r="H34" s="56" t="s">
        <v>476</v>
      </c>
      <c r="I34" s="89"/>
      <c r="J34" s="87"/>
    </row>
    <row r="35" spans="1:10" s="90" customFormat="1" ht="48">
      <c r="A35" s="87"/>
      <c r="B35" s="88"/>
      <c r="C35" s="146"/>
      <c r="D35" s="89"/>
      <c r="E35" s="87"/>
      <c r="F35" s="88"/>
      <c r="G35" s="57" t="s">
        <v>415</v>
      </c>
      <c r="H35" s="57" t="s">
        <v>463</v>
      </c>
      <c r="I35" s="89"/>
      <c r="J35" s="87"/>
    </row>
    <row r="36" spans="1:10" s="90" customFormat="1" ht="32">
      <c r="A36" s="87"/>
      <c r="B36" s="88"/>
      <c r="C36" s="146"/>
      <c r="D36" s="89"/>
      <c r="E36" s="87"/>
      <c r="F36" s="88"/>
      <c r="G36" s="56" t="s">
        <v>466</v>
      </c>
      <c r="H36" s="56" t="s">
        <v>465</v>
      </c>
      <c r="I36" s="89"/>
      <c r="J36" s="87"/>
    </row>
    <row r="37" spans="1:10" s="90" customFormat="1" ht="49" thickBot="1">
      <c r="A37" s="87"/>
      <c r="B37" s="88"/>
      <c r="C37" s="146"/>
      <c r="D37" s="89"/>
      <c r="E37" s="87"/>
      <c r="F37" s="88"/>
      <c r="G37" s="58" t="s">
        <v>413</v>
      </c>
      <c r="H37" s="58" t="s">
        <v>480</v>
      </c>
      <c r="I37" s="89"/>
      <c r="J37" s="87"/>
    </row>
    <row r="38" spans="1:10" s="90" customFormat="1">
      <c r="A38" s="87"/>
      <c r="B38" s="88"/>
      <c r="C38" s="146"/>
      <c r="D38" s="89"/>
      <c r="E38" s="87"/>
      <c r="F38" s="88"/>
      <c r="G38" s="97"/>
      <c r="H38" s="97"/>
      <c r="I38" s="89"/>
      <c r="J38" s="87"/>
    </row>
    <row r="39" spans="1:10" s="90" customFormat="1">
      <c r="A39" s="87"/>
      <c r="B39" s="88"/>
      <c r="C39" s="146"/>
      <c r="D39" s="89"/>
      <c r="E39" s="87"/>
      <c r="F39" s="88"/>
      <c r="G39" s="97"/>
      <c r="H39" s="97"/>
      <c r="I39" s="89"/>
      <c r="J39" s="87"/>
    </row>
    <row r="40" spans="1:10" s="90" customFormat="1">
      <c r="A40" s="87"/>
      <c r="B40" s="88"/>
      <c r="C40" s="146"/>
      <c r="D40" s="89"/>
      <c r="E40" s="87"/>
      <c r="F40" s="88"/>
      <c r="G40" s="146"/>
      <c r="H40" s="146"/>
      <c r="I40" s="89"/>
      <c r="J40" s="87"/>
    </row>
    <row r="41" spans="1:10">
      <c r="B41" s="63"/>
      <c r="C41" s="64"/>
      <c r="D41" s="66"/>
      <c r="F41" s="63"/>
      <c r="G41" s="147"/>
      <c r="H41" s="147"/>
      <c r="I41" s="66"/>
    </row>
    <row r="42" spans="1:10">
      <c r="A42" s="2"/>
      <c r="B42" s="2"/>
      <c r="C42" s="2"/>
      <c r="D42" s="3"/>
      <c r="E42" s="2"/>
      <c r="F42" s="2"/>
      <c r="I42" s="3"/>
      <c r="J42" s="2"/>
    </row>
  </sheetData>
  <sheetProtection sheet="1" objects="1" scenarios="1"/>
  <mergeCells count="1">
    <mergeCell ref="G3:H3"/>
  </mergeCells>
  <pageMargins left="0.7" right="0.7" top="0.75" bottom="0.75" header="0.3" footer="0.3"/>
  <pageSetup scale="82" orientation="portrait" horizontalDpi="0" verticalDpi="0"/>
  <rowBreaks count="3" manualBreakCount="3">
    <brk id="11" max="101" man="1"/>
    <brk id="17" max="101" man="1"/>
    <brk id="26" max="101" man="1"/>
  </rowBreaks>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8CE609-0457-C943-BD7B-7CA213367F28}">
  <sheetPr codeName="Sheet6"/>
  <dimension ref="A1:D99"/>
  <sheetViews>
    <sheetView topLeftCell="A2" workbookViewId="0">
      <selection activeCell="F32" sqref="F32"/>
    </sheetView>
  </sheetViews>
  <sheetFormatPr baseColWidth="10" defaultRowHeight="16"/>
  <sheetData>
    <row r="1" spans="1:4">
      <c r="A1" t="s">
        <v>49</v>
      </c>
      <c r="B1" t="s">
        <v>57</v>
      </c>
      <c r="C1" t="s">
        <v>203</v>
      </c>
    </row>
    <row r="2" spans="1:4">
      <c r="A2" t="s">
        <v>152</v>
      </c>
      <c r="B2" t="s">
        <v>153</v>
      </c>
      <c r="C2" t="str">
        <f>B2&amp;" - "&amp;A2</f>
        <v>Argentina - Buenos Aires</v>
      </c>
      <c r="D2" s="1"/>
    </row>
    <row r="3" spans="1:4">
      <c r="A3" t="s">
        <v>107</v>
      </c>
      <c r="B3" t="s">
        <v>108</v>
      </c>
      <c r="C3" t="str">
        <f t="shared" ref="C3:C66" si="0">B3&amp;" - "&amp;A3</f>
        <v>Australia - Melbourne</v>
      </c>
      <c r="D3" s="1"/>
    </row>
    <row r="4" spans="1:4">
      <c r="A4" t="s">
        <v>114</v>
      </c>
      <c r="B4" t="s">
        <v>108</v>
      </c>
      <c r="C4" t="str">
        <f t="shared" si="0"/>
        <v>Australia - Sydney</v>
      </c>
      <c r="D4" s="1"/>
    </row>
    <row r="5" spans="1:4">
      <c r="A5" t="s">
        <v>195</v>
      </c>
      <c r="B5" t="s">
        <v>196</v>
      </c>
      <c r="C5" t="str">
        <f t="shared" si="0"/>
        <v>Bangladesh - Dhaka (North &amp; South)</v>
      </c>
      <c r="D5" s="1"/>
    </row>
    <row r="6" spans="1:4">
      <c r="A6" t="s">
        <v>154</v>
      </c>
      <c r="B6" t="s">
        <v>155</v>
      </c>
      <c r="C6" t="str">
        <f t="shared" si="0"/>
        <v>Brazil - Curitiba</v>
      </c>
      <c r="D6" s="1"/>
    </row>
    <row r="7" spans="1:4">
      <c r="A7" t="s">
        <v>156</v>
      </c>
      <c r="B7" t="s">
        <v>155</v>
      </c>
      <c r="C7" t="str">
        <f t="shared" si="0"/>
        <v>Brazil - Fortaleza</v>
      </c>
      <c r="D7" s="1"/>
    </row>
    <row r="8" spans="1:4">
      <c r="A8" t="s">
        <v>165</v>
      </c>
      <c r="B8" t="s">
        <v>155</v>
      </c>
      <c r="C8" t="str">
        <f t="shared" si="0"/>
        <v>Brazil - Rio de Janeiro</v>
      </c>
      <c r="D8" s="1"/>
    </row>
    <row r="9" spans="1:4">
      <c r="A9" t="s">
        <v>166</v>
      </c>
      <c r="B9" t="s">
        <v>155</v>
      </c>
      <c r="C9" t="str">
        <f t="shared" si="0"/>
        <v>Brazil - Salvador</v>
      </c>
      <c r="D9" s="1"/>
    </row>
    <row r="10" spans="1:4">
      <c r="A10" t="s">
        <v>169</v>
      </c>
      <c r="B10" t="s">
        <v>155</v>
      </c>
      <c r="C10" t="str">
        <f t="shared" si="0"/>
        <v>Brazil - São Paulo</v>
      </c>
      <c r="D10" s="1"/>
    </row>
    <row r="11" spans="1:4">
      <c r="A11" t="s">
        <v>177</v>
      </c>
      <c r="B11" t="s">
        <v>178</v>
      </c>
      <c r="C11" t="str">
        <f t="shared" si="0"/>
        <v>Canada - Montréal</v>
      </c>
      <c r="D11" s="1"/>
    </row>
    <row r="12" spans="1:4">
      <c r="A12" t="s">
        <v>186</v>
      </c>
      <c r="B12" t="s">
        <v>178</v>
      </c>
      <c r="C12" t="str">
        <f t="shared" si="0"/>
        <v>Canada - Toronto</v>
      </c>
      <c r="D12" s="1"/>
    </row>
    <row r="13" spans="1:4">
      <c r="A13" t="s">
        <v>187</v>
      </c>
      <c r="B13" t="s">
        <v>178</v>
      </c>
      <c r="C13" t="str">
        <f t="shared" si="0"/>
        <v>Canada - Vancouver</v>
      </c>
      <c r="D13" s="1"/>
    </row>
    <row r="14" spans="1:4">
      <c r="A14" t="s">
        <v>167</v>
      </c>
      <c r="B14" t="s">
        <v>168</v>
      </c>
      <c r="C14" t="str">
        <f t="shared" si="0"/>
        <v>Chile - Santiago</v>
      </c>
      <c r="D14" s="1"/>
    </row>
    <row r="15" spans="1:4">
      <c r="A15" t="s">
        <v>82</v>
      </c>
      <c r="B15" t="s">
        <v>83</v>
      </c>
      <c r="C15" t="str">
        <f t="shared" si="0"/>
        <v>China - Beijing</v>
      </c>
      <c r="D15" s="1"/>
    </row>
    <row r="16" spans="1:4">
      <c r="A16" t="s">
        <v>84</v>
      </c>
      <c r="B16" t="s">
        <v>83</v>
      </c>
      <c r="C16" t="str">
        <f t="shared" si="0"/>
        <v>China - Chengdu</v>
      </c>
      <c r="D16" s="1"/>
    </row>
    <row r="17" spans="1:4">
      <c r="A17" t="s">
        <v>85</v>
      </c>
      <c r="B17" t="s">
        <v>83</v>
      </c>
      <c r="C17" t="str">
        <f t="shared" si="0"/>
        <v>China - Dalian</v>
      </c>
      <c r="D17" s="1"/>
    </row>
    <row r="18" spans="1:4">
      <c r="A18" t="s">
        <v>86</v>
      </c>
      <c r="B18" t="s">
        <v>83</v>
      </c>
      <c r="C18" t="str">
        <f t="shared" si="0"/>
        <v>China - Fuzhou</v>
      </c>
      <c r="D18" s="1"/>
    </row>
    <row r="19" spans="1:4">
      <c r="A19" t="s">
        <v>87</v>
      </c>
      <c r="B19" t="s">
        <v>83</v>
      </c>
      <c r="C19" t="str">
        <f t="shared" si="0"/>
        <v>China - Guangzhou</v>
      </c>
      <c r="D19" s="1"/>
    </row>
    <row r="20" spans="1:4">
      <c r="A20" t="s">
        <v>88</v>
      </c>
      <c r="B20" t="s">
        <v>83</v>
      </c>
      <c r="C20" t="str">
        <f t="shared" si="0"/>
        <v>China - Hangzhou</v>
      </c>
      <c r="D20" s="1"/>
    </row>
    <row r="21" spans="1:4">
      <c r="A21" t="s">
        <v>89</v>
      </c>
      <c r="B21" t="s">
        <v>83</v>
      </c>
      <c r="C21" t="str">
        <f t="shared" si="0"/>
        <v>China - Hong Kong</v>
      </c>
      <c r="D21" s="1"/>
    </row>
    <row r="22" spans="1:4">
      <c r="A22" t="s">
        <v>90</v>
      </c>
      <c r="B22" t="s">
        <v>83</v>
      </c>
      <c r="C22" t="str">
        <f t="shared" si="0"/>
        <v>China - Nanjing</v>
      </c>
      <c r="D22" s="1"/>
    </row>
    <row r="23" spans="1:4">
      <c r="A23" t="s">
        <v>91</v>
      </c>
      <c r="B23" t="s">
        <v>83</v>
      </c>
      <c r="C23" t="str">
        <f t="shared" si="0"/>
        <v>China - Qingdao</v>
      </c>
      <c r="D23" s="1"/>
    </row>
    <row r="24" spans="1:4">
      <c r="A24" t="s">
        <v>92</v>
      </c>
      <c r="B24" t="s">
        <v>83</v>
      </c>
      <c r="C24" t="str">
        <f t="shared" si="0"/>
        <v>China - Shanghai</v>
      </c>
      <c r="D24" s="1"/>
    </row>
    <row r="25" spans="1:4">
      <c r="A25" t="s">
        <v>93</v>
      </c>
      <c r="B25" t="s">
        <v>83</v>
      </c>
      <c r="C25" t="str">
        <f t="shared" si="0"/>
        <v>China - Shenzhen</v>
      </c>
      <c r="D25" s="1"/>
    </row>
    <row r="26" spans="1:4">
      <c r="A26" t="s">
        <v>94</v>
      </c>
      <c r="B26" t="s">
        <v>83</v>
      </c>
      <c r="C26" t="str">
        <f t="shared" si="0"/>
        <v>China - Wuhan</v>
      </c>
      <c r="D26" s="1"/>
    </row>
    <row r="27" spans="1:4">
      <c r="A27" t="s">
        <v>95</v>
      </c>
      <c r="B27" t="s">
        <v>83</v>
      </c>
      <c r="C27" t="str">
        <f t="shared" si="0"/>
        <v>China - Zhenjiang</v>
      </c>
      <c r="D27" s="1"/>
    </row>
    <row r="28" spans="1:4">
      <c r="A28" t="s">
        <v>150</v>
      </c>
      <c r="B28" t="s">
        <v>151</v>
      </c>
      <c r="C28" t="str">
        <f t="shared" si="0"/>
        <v>Colombia - Bogotá</v>
      </c>
      <c r="D28" s="1"/>
    </row>
    <row r="29" spans="1:4">
      <c r="A29" t="s">
        <v>161</v>
      </c>
      <c r="B29" t="s">
        <v>151</v>
      </c>
      <c r="C29" t="str">
        <f t="shared" si="0"/>
        <v>Colombia - Medellín</v>
      </c>
      <c r="D29" s="1"/>
    </row>
    <row r="30" spans="1:4">
      <c r="A30" t="s">
        <v>58</v>
      </c>
      <c r="B30" t="s">
        <v>59</v>
      </c>
      <c r="C30" t="str">
        <f t="shared" si="0"/>
        <v>Côte d’Ivoire - Abidjan</v>
      </c>
      <c r="D30" s="1"/>
    </row>
    <row r="31" spans="1:4">
      <c r="A31" t="s">
        <v>126</v>
      </c>
      <c r="B31" t="s">
        <v>127</v>
      </c>
      <c r="C31" t="str">
        <f t="shared" si="0"/>
        <v>Denmark - Copenhagen</v>
      </c>
      <c r="D31" s="1"/>
    </row>
    <row r="32" spans="1:4">
      <c r="A32" t="s">
        <v>163</v>
      </c>
      <c r="B32" t="s">
        <v>164</v>
      </c>
      <c r="C32" t="str">
        <f t="shared" si="0"/>
        <v>Ecuador - Quito</v>
      </c>
      <c r="D32" s="1"/>
    </row>
    <row r="33" spans="1:4">
      <c r="A33" t="s">
        <v>62</v>
      </c>
      <c r="B33" t="s">
        <v>63</v>
      </c>
      <c r="C33" t="str">
        <f t="shared" si="0"/>
        <v>Ethiopia - Addis Ababa</v>
      </c>
      <c r="D33" s="1"/>
    </row>
    <row r="34" spans="1:4">
      <c r="A34" t="s">
        <v>140</v>
      </c>
      <c r="B34" t="s">
        <v>141</v>
      </c>
      <c r="C34" t="str">
        <f t="shared" si="0"/>
        <v>France - Paris</v>
      </c>
      <c r="D34" s="1"/>
    </row>
    <row r="35" spans="1:4">
      <c r="A35" t="s">
        <v>124</v>
      </c>
      <c r="B35" t="s">
        <v>125</v>
      </c>
      <c r="C35" t="str">
        <f t="shared" si="0"/>
        <v>Germany - Berlin</v>
      </c>
      <c r="D35" s="1"/>
    </row>
    <row r="36" spans="1:4">
      <c r="A36" t="s">
        <v>128</v>
      </c>
      <c r="B36" t="s">
        <v>125</v>
      </c>
      <c r="C36" t="str">
        <f t="shared" si="0"/>
        <v>Germany - Heidelberg</v>
      </c>
      <c r="D36" s="1"/>
    </row>
    <row r="37" spans="1:4">
      <c r="A37" t="s">
        <v>60</v>
      </c>
      <c r="B37" t="s">
        <v>61</v>
      </c>
      <c r="C37" t="str">
        <f t="shared" si="0"/>
        <v>Ghana - Accra</v>
      </c>
      <c r="D37" s="1"/>
    </row>
    <row r="38" spans="1:4">
      <c r="A38" t="s">
        <v>120</v>
      </c>
      <c r="B38" t="s">
        <v>121</v>
      </c>
      <c r="C38" t="str">
        <f t="shared" si="0"/>
        <v>Greece - Athens</v>
      </c>
      <c r="D38" s="1"/>
    </row>
    <row r="39" spans="1:4">
      <c r="A39" t="s">
        <v>188</v>
      </c>
      <c r="B39" t="s">
        <v>189</v>
      </c>
      <c r="C39" t="str">
        <f t="shared" si="0"/>
        <v>India - Ahmedabad</v>
      </c>
      <c r="D39" s="1"/>
    </row>
    <row r="40" spans="1:4">
      <c r="A40" t="s">
        <v>192</v>
      </c>
      <c r="B40" t="s">
        <v>189</v>
      </c>
      <c r="C40" t="str">
        <f t="shared" si="0"/>
        <v>India - Bengaluru</v>
      </c>
      <c r="D40" s="1"/>
    </row>
    <row r="41" spans="1:4">
      <c r="A41" t="s">
        <v>193</v>
      </c>
      <c r="B41" t="s">
        <v>189</v>
      </c>
      <c r="C41" t="str">
        <f t="shared" si="0"/>
        <v>India - Chennai</v>
      </c>
      <c r="D41" s="1"/>
    </row>
    <row r="42" spans="1:4">
      <c r="A42" t="s">
        <v>194</v>
      </c>
      <c r="B42" t="s">
        <v>189</v>
      </c>
      <c r="C42" t="str">
        <f t="shared" si="0"/>
        <v>India - Delhi NCT</v>
      </c>
      <c r="D42" s="1"/>
    </row>
    <row r="43" spans="1:4">
      <c r="A43" t="s">
        <v>201</v>
      </c>
      <c r="B43" t="s">
        <v>189</v>
      </c>
      <c r="C43" t="str">
        <f t="shared" si="0"/>
        <v>India - Mumbai</v>
      </c>
      <c r="D43" s="1"/>
    </row>
    <row r="44" spans="1:4">
      <c r="A44" t="s">
        <v>103</v>
      </c>
      <c r="B44" t="s">
        <v>104</v>
      </c>
      <c r="C44" t="str">
        <f t="shared" si="0"/>
        <v>Indonesia - Jakarta</v>
      </c>
      <c r="D44" s="1"/>
    </row>
    <row r="45" spans="1:4">
      <c r="A45" t="s">
        <v>146</v>
      </c>
      <c r="B45" t="s">
        <v>147</v>
      </c>
      <c r="C45" t="str">
        <f t="shared" si="0"/>
        <v>Israel - Tel Aviv - Yafo</v>
      </c>
      <c r="D45" s="1"/>
    </row>
    <row r="46" spans="1:4">
      <c r="A46" t="s">
        <v>136</v>
      </c>
      <c r="B46" t="s">
        <v>137</v>
      </c>
      <c r="C46" t="str">
        <f t="shared" si="0"/>
        <v>Italy - Milan</v>
      </c>
      <c r="D46" s="1"/>
    </row>
    <row r="47" spans="1:4">
      <c r="A47" t="s">
        <v>142</v>
      </c>
      <c r="B47" t="s">
        <v>137</v>
      </c>
      <c r="C47" t="str">
        <f t="shared" si="0"/>
        <v>Italy - Rome</v>
      </c>
      <c r="D47" s="1"/>
    </row>
    <row r="48" spans="1:4">
      <c r="A48" t="s">
        <v>115</v>
      </c>
      <c r="B48" t="s">
        <v>116</v>
      </c>
      <c r="C48" t="str">
        <f t="shared" si="0"/>
        <v>Japan - Tokyo</v>
      </c>
      <c r="D48" s="1"/>
    </row>
    <row r="49" spans="1:4">
      <c r="A49" t="s">
        <v>117</v>
      </c>
      <c r="B49" t="s">
        <v>116</v>
      </c>
      <c r="C49" t="str">
        <f t="shared" si="0"/>
        <v>Japan - Yokohama</v>
      </c>
      <c r="D49" s="1"/>
    </row>
    <row r="50" spans="1:4">
      <c r="A50" t="s">
        <v>190</v>
      </c>
      <c r="B50" t="s">
        <v>191</v>
      </c>
      <c r="C50" t="str">
        <f t="shared" si="0"/>
        <v>Jordan - Amman</v>
      </c>
      <c r="D50" s="1"/>
    </row>
    <row r="51" spans="1:4">
      <c r="A51" t="s">
        <v>79</v>
      </c>
      <c r="B51" t="s">
        <v>80</v>
      </c>
      <c r="C51" t="str">
        <f t="shared" si="0"/>
        <v>Kenya - Nairobi</v>
      </c>
      <c r="D51" s="1"/>
    </row>
    <row r="52" spans="1:4">
      <c r="A52" t="s">
        <v>105</v>
      </c>
      <c r="B52" t="s">
        <v>106</v>
      </c>
      <c r="C52" t="str">
        <f t="shared" si="0"/>
        <v>Malaysia - Kuala Lumpur</v>
      </c>
      <c r="D52" s="1"/>
    </row>
    <row r="53" spans="1:4">
      <c r="A53" t="s">
        <v>157</v>
      </c>
      <c r="B53" t="s">
        <v>158</v>
      </c>
      <c r="C53" t="str">
        <f t="shared" si="0"/>
        <v>Mexico - Guadalajara</v>
      </c>
      <c r="D53" s="1"/>
    </row>
    <row r="54" spans="1:4">
      <c r="A54" t="s">
        <v>162</v>
      </c>
      <c r="B54" t="s">
        <v>158</v>
      </c>
      <c r="C54" t="str">
        <f t="shared" si="0"/>
        <v>Mexico - Mexico City</v>
      </c>
      <c r="D54" s="1"/>
    </row>
    <row r="55" spans="1:4">
      <c r="A55" t="s">
        <v>66</v>
      </c>
      <c r="B55" t="s">
        <v>67</v>
      </c>
      <c r="C55" t="str">
        <f t="shared" si="0"/>
        <v>Morocco - Casablanca</v>
      </c>
      <c r="D55" s="1"/>
    </row>
    <row r="56" spans="1:4">
      <c r="A56" t="s">
        <v>96</v>
      </c>
      <c r="B56" t="s">
        <v>97</v>
      </c>
      <c r="C56" t="str">
        <f t="shared" si="0"/>
        <v>New Zealand - Auckland</v>
      </c>
      <c r="D56" s="1"/>
    </row>
    <row r="57" spans="1:4">
      <c r="A57" t="s">
        <v>77</v>
      </c>
      <c r="B57" t="s">
        <v>78</v>
      </c>
      <c r="C57" t="str">
        <f t="shared" si="0"/>
        <v>Nigeria - Lagos</v>
      </c>
      <c r="D57" s="1"/>
    </row>
    <row r="58" spans="1:4">
      <c r="A58" t="s">
        <v>138</v>
      </c>
      <c r="B58" t="s">
        <v>139</v>
      </c>
      <c r="C58" t="str">
        <f t="shared" si="0"/>
        <v>Norway - Oslo</v>
      </c>
      <c r="D58" s="1"/>
    </row>
    <row r="59" spans="1:4">
      <c r="A59" t="s">
        <v>199</v>
      </c>
      <c r="B59" t="s">
        <v>200</v>
      </c>
      <c r="C59" t="str">
        <f t="shared" si="0"/>
        <v>Pakistan - Karachi</v>
      </c>
      <c r="D59" s="1"/>
    </row>
    <row r="60" spans="1:4">
      <c r="A60" t="s">
        <v>159</v>
      </c>
      <c r="B60" t="s">
        <v>160</v>
      </c>
      <c r="C60" t="str">
        <f t="shared" si="0"/>
        <v>Peru - Lima</v>
      </c>
      <c r="D60" s="1"/>
    </row>
    <row r="61" spans="1:4">
      <c r="A61" t="s">
        <v>148</v>
      </c>
      <c r="B61" t="s">
        <v>149</v>
      </c>
      <c r="C61" t="str">
        <f t="shared" si="0"/>
        <v>Poland - Warsaw</v>
      </c>
      <c r="D61" s="1"/>
    </row>
    <row r="62" spans="1:4">
      <c r="A62" t="s">
        <v>131</v>
      </c>
      <c r="B62" t="s">
        <v>132</v>
      </c>
      <c r="C62" t="str">
        <f t="shared" si="0"/>
        <v>Portugal - Lisbon</v>
      </c>
      <c r="D62" s="1"/>
    </row>
    <row r="63" spans="1:4">
      <c r="A63" t="s">
        <v>111</v>
      </c>
      <c r="B63" t="s">
        <v>112</v>
      </c>
      <c r="C63" t="str">
        <f t="shared" si="0"/>
        <v>Republic of Korea - Seoul</v>
      </c>
      <c r="D63" s="1"/>
    </row>
    <row r="64" spans="1:4">
      <c r="A64" t="s">
        <v>68</v>
      </c>
      <c r="B64" t="s">
        <v>69</v>
      </c>
      <c r="C64" t="str">
        <f t="shared" si="0"/>
        <v>Senegal - Dakar</v>
      </c>
      <c r="D64" s="1"/>
    </row>
    <row r="65" spans="1:4">
      <c r="A65" t="s">
        <v>74</v>
      </c>
      <c r="B65" t="s">
        <v>75</v>
      </c>
      <c r="C65" t="str">
        <f t="shared" si="0"/>
        <v>Sierra Leone - Freetown</v>
      </c>
      <c r="D65" s="1"/>
    </row>
    <row r="66" spans="1:4">
      <c r="A66" t="s">
        <v>113</v>
      </c>
      <c r="B66" t="s">
        <v>113</v>
      </c>
      <c r="C66" t="str">
        <f t="shared" si="0"/>
        <v>Singapore - Singapore</v>
      </c>
      <c r="D66" s="1"/>
    </row>
    <row r="67" spans="1:4">
      <c r="A67" t="s">
        <v>64</v>
      </c>
      <c r="B67" t="s">
        <v>65</v>
      </c>
      <c r="C67" t="str">
        <f t="shared" ref="C67:C98" si="1">B67&amp;" - "&amp;A67</f>
        <v>South Africa - Cape Town</v>
      </c>
      <c r="D67" s="1"/>
    </row>
    <row r="68" spans="1:4">
      <c r="A68" t="s">
        <v>72</v>
      </c>
      <c r="B68" t="s">
        <v>65</v>
      </c>
      <c r="C68" t="str">
        <f t="shared" si="1"/>
        <v>South Africa - Durban (eThekwini)</v>
      </c>
      <c r="D68" s="1"/>
    </row>
    <row r="69" spans="1:4">
      <c r="A69" t="s">
        <v>73</v>
      </c>
      <c r="B69" t="s">
        <v>65</v>
      </c>
      <c r="C69" t="str">
        <f t="shared" si="1"/>
        <v>South Africa - Ekurhuleni</v>
      </c>
      <c r="D69" s="1"/>
    </row>
    <row r="70" spans="1:4">
      <c r="A70" t="s">
        <v>76</v>
      </c>
      <c r="B70" t="s">
        <v>65</v>
      </c>
      <c r="C70" t="str">
        <f t="shared" si="1"/>
        <v>South Africa - Johannesburg</v>
      </c>
      <c r="D70" s="1"/>
    </row>
    <row r="71" spans="1:4">
      <c r="A71" t="s">
        <v>81</v>
      </c>
      <c r="B71" t="s">
        <v>65</v>
      </c>
      <c r="C71" t="str">
        <f t="shared" si="1"/>
        <v>South Africa - Tshwane</v>
      </c>
      <c r="D71" s="1"/>
    </row>
    <row r="72" spans="1:4">
      <c r="A72" t="s">
        <v>122</v>
      </c>
      <c r="B72" t="s">
        <v>123</v>
      </c>
      <c r="C72" t="str">
        <f t="shared" si="1"/>
        <v>Spain - Barcelona</v>
      </c>
      <c r="D72" s="1"/>
    </row>
    <row r="73" spans="1:4">
      <c r="A73" t="s">
        <v>135</v>
      </c>
      <c r="B73" t="s">
        <v>123</v>
      </c>
      <c r="C73" t="str">
        <f t="shared" si="1"/>
        <v>Spain - Madrid</v>
      </c>
      <c r="D73" s="1"/>
    </row>
    <row r="74" spans="1:4">
      <c r="A74" t="s">
        <v>144</v>
      </c>
      <c r="B74" t="s">
        <v>145</v>
      </c>
      <c r="C74" t="str">
        <f t="shared" si="1"/>
        <v>Sweden - Stockholm</v>
      </c>
      <c r="D74" s="1"/>
    </row>
    <row r="75" spans="1:4">
      <c r="A75" t="s">
        <v>70</v>
      </c>
      <c r="B75" t="s">
        <v>71</v>
      </c>
      <c r="C75" t="str">
        <f t="shared" si="1"/>
        <v>Tanzania - Dar es Salaam</v>
      </c>
      <c r="D75" s="1"/>
    </row>
    <row r="76" spans="1:4">
      <c r="A76" t="s">
        <v>98</v>
      </c>
      <c r="B76" t="s">
        <v>99</v>
      </c>
      <c r="C76" t="str">
        <f t="shared" si="1"/>
        <v>Thailand - Bangkok</v>
      </c>
      <c r="D76" s="1"/>
    </row>
    <row r="77" spans="1:4">
      <c r="A77" t="s">
        <v>118</v>
      </c>
      <c r="B77" t="s">
        <v>119</v>
      </c>
      <c r="C77" t="str">
        <f t="shared" si="1"/>
        <v>The Netherlands - Amsterdam</v>
      </c>
      <c r="D77" s="1"/>
    </row>
    <row r="78" spans="1:4">
      <c r="A78" t="s">
        <v>143</v>
      </c>
      <c r="B78" t="s">
        <v>119</v>
      </c>
      <c r="C78" t="str">
        <f t="shared" si="1"/>
        <v>The Netherlands - Rotterdam</v>
      </c>
      <c r="D78" s="1"/>
    </row>
    <row r="79" spans="1:4">
      <c r="A79" t="s">
        <v>109</v>
      </c>
      <c r="B79" t="s">
        <v>110</v>
      </c>
      <c r="C79" t="str">
        <f t="shared" si="1"/>
        <v>The Philippines - Quezon City</v>
      </c>
      <c r="D79" s="1"/>
    </row>
    <row r="80" spans="1:4">
      <c r="A80" t="s">
        <v>129</v>
      </c>
      <c r="B80" t="s">
        <v>130</v>
      </c>
      <c r="C80" t="str">
        <f t="shared" si="1"/>
        <v>Turkey - Istanbul</v>
      </c>
      <c r="D80" s="1"/>
    </row>
    <row r="81" spans="1:4">
      <c r="A81" t="s">
        <v>197</v>
      </c>
      <c r="B81" t="s">
        <v>198</v>
      </c>
      <c r="C81" t="str">
        <f t="shared" si="1"/>
        <v>United Arab Emirates - Dubai</v>
      </c>
      <c r="D81" s="1"/>
    </row>
    <row r="82" spans="1:4">
      <c r="A82" t="s">
        <v>133</v>
      </c>
      <c r="B82" t="s">
        <v>134</v>
      </c>
      <c r="C82" t="str">
        <f t="shared" si="1"/>
        <v>United Kingdom - London</v>
      </c>
      <c r="D82" s="1"/>
    </row>
    <row r="83" spans="1:4">
      <c r="A83" t="s">
        <v>170</v>
      </c>
      <c r="B83" t="s">
        <v>171</v>
      </c>
      <c r="C83" t="str">
        <f t="shared" si="1"/>
        <v>United States - Austin</v>
      </c>
      <c r="D83" s="1"/>
    </row>
    <row r="84" spans="1:4">
      <c r="A84" t="s">
        <v>172</v>
      </c>
      <c r="B84" t="s">
        <v>171</v>
      </c>
      <c r="C84" t="str">
        <f t="shared" si="1"/>
        <v>United States - Boston</v>
      </c>
      <c r="D84" s="1"/>
    </row>
    <row r="85" spans="1:4">
      <c r="A85" t="s">
        <v>173</v>
      </c>
      <c r="B85" t="s">
        <v>171</v>
      </c>
      <c r="C85" t="str">
        <f t="shared" si="1"/>
        <v>United States - Chicago</v>
      </c>
      <c r="D85" s="1"/>
    </row>
    <row r="86" spans="1:4">
      <c r="A86" t="s">
        <v>174</v>
      </c>
      <c r="B86" t="s">
        <v>171</v>
      </c>
      <c r="C86" t="str">
        <f t="shared" si="1"/>
        <v>United States - Houston</v>
      </c>
      <c r="D86" s="1"/>
    </row>
    <row r="87" spans="1:4">
      <c r="A87" t="s">
        <v>175</v>
      </c>
      <c r="B87" t="s">
        <v>171</v>
      </c>
      <c r="C87" t="str">
        <f t="shared" si="1"/>
        <v>United States - Los Angeles</v>
      </c>
      <c r="D87" s="1"/>
    </row>
    <row r="88" spans="1:4">
      <c r="A88" t="s">
        <v>176</v>
      </c>
      <c r="B88" t="s">
        <v>171</v>
      </c>
      <c r="C88" t="str">
        <f t="shared" si="1"/>
        <v>United States - Miami</v>
      </c>
      <c r="D88" s="1"/>
    </row>
    <row r="89" spans="1:4">
      <c r="A89" t="s">
        <v>179</v>
      </c>
      <c r="B89" t="s">
        <v>171</v>
      </c>
      <c r="C89" t="str">
        <f t="shared" si="1"/>
        <v>United States - New Orleans</v>
      </c>
      <c r="D89" s="1"/>
    </row>
    <row r="90" spans="1:4">
      <c r="A90" t="s">
        <v>180</v>
      </c>
      <c r="B90" t="s">
        <v>171</v>
      </c>
      <c r="C90" t="str">
        <f t="shared" si="1"/>
        <v>United States - New York City</v>
      </c>
      <c r="D90" s="1"/>
    </row>
    <row r="91" spans="1:4">
      <c r="A91" t="s">
        <v>181</v>
      </c>
      <c r="B91" t="s">
        <v>171</v>
      </c>
      <c r="C91" t="str">
        <f t="shared" si="1"/>
        <v>United States - Philadelphia</v>
      </c>
      <c r="D91" s="1"/>
    </row>
    <row r="92" spans="1:4">
      <c r="A92" t="s">
        <v>182</v>
      </c>
      <c r="B92" t="s">
        <v>171</v>
      </c>
      <c r="C92" t="str">
        <f t="shared" si="1"/>
        <v>United States - Phoenix</v>
      </c>
      <c r="D92" s="1"/>
    </row>
    <row r="93" spans="1:4">
      <c r="A93" t="s">
        <v>183</v>
      </c>
      <c r="B93" t="s">
        <v>171</v>
      </c>
      <c r="C93" t="str">
        <f t="shared" si="1"/>
        <v>United States - Portland</v>
      </c>
      <c r="D93" s="1"/>
    </row>
    <row r="94" spans="1:4">
      <c r="A94" t="s">
        <v>184</v>
      </c>
      <c r="B94" t="s">
        <v>171</v>
      </c>
      <c r="C94" t="str">
        <f t="shared" si="1"/>
        <v>United States - San Francisco</v>
      </c>
      <c r="D94" s="1"/>
    </row>
    <row r="95" spans="1:4">
      <c r="A95" t="s">
        <v>185</v>
      </c>
      <c r="B95" t="s">
        <v>171</v>
      </c>
      <c r="C95" t="str">
        <f t="shared" si="1"/>
        <v>United States - Seattle</v>
      </c>
      <c r="D95" s="1"/>
    </row>
    <row r="96" spans="1:4">
      <c r="A96" t="s">
        <v>202</v>
      </c>
      <c r="B96" t="s">
        <v>171</v>
      </c>
      <c r="C96" t="str">
        <f t="shared" si="1"/>
        <v>United States - Washington DC</v>
      </c>
      <c r="D96" s="1"/>
    </row>
    <row r="97" spans="1:4">
      <c r="A97" t="s">
        <v>100</v>
      </c>
      <c r="B97" t="s">
        <v>101</v>
      </c>
      <c r="C97" t="str">
        <f t="shared" si="1"/>
        <v>Vietnam - Hanoi</v>
      </c>
      <c r="D97" s="1"/>
    </row>
    <row r="98" spans="1:4">
      <c r="A98" t="s">
        <v>102</v>
      </c>
      <c r="B98" t="s">
        <v>101</v>
      </c>
      <c r="C98" t="str">
        <f t="shared" si="1"/>
        <v>Vietnam - Ho Chi Minh City</v>
      </c>
      <c r="D98" s="1"/>
    </row>
    <row r="99" spans="1:4">
      <c r="C99" t="s">
        <v>205</v>
      </c>
    </row>
  </sheetData>
  <sheetProtection sheet="1" objects="1" scenarios="1"/>
  <pageMargins left="0.7" right="0.7" top="0.75" bottom="0.75" header="0.3" footer="0.3"/>
  <pageSetup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49990-23B0-174B-AAE6-20032EAAC9E8}">
  <sheetPr codeName="Sheet7"/>
  <dimension ref="A1:C14"/>
  <sheetViews>
    <sheetView workbookViewId="0">
      <selection activeCell="A14" sqref="A14"/>
    </sheetView>
  </sheetViews>
  <sheetFormatPr baseColWidth="10" defaultRowHeight="16"/>
  <cols>
    <col min="1" max="1" width="11.33203125" bestFit="1" customWidth="1"/>
    <col min="2" max="2" width="43.83203125" bestFit="1" customWidth="1"/>
    <col min="3" max="3" width="11.83203125" bestFit="1" customWidth="1"/>
  </cols>
  <sheetData>
    <row r="1" spans="1:3">
      <c r="A1" t="s">
        <v>42</v>
      </c>
      <c r="B1" t="s">
        <v>43</v>
      </c>
      <c r="C1" t="s">
        <v>41</v>
      </c>
    </row>
    <row r="2" spans="1:3">
      <c r="A2" t="s">
        <v>8</v>
      </c>
      <c r="B2" t="s">
        <v>2</v>
      </c>
      <c r="C2" t="s">
        <v>7</v>
      </c>
    </row>
    <row r="3" spans="1:3">
      <c r="A3" t="s">
        <v>9</v>
      </c>
      <c r="B3" t="s">
        <v>3</v>
      </c>
      <c r="C3" t="s">
        <v>7</v>
      </c>
    </row>
    <row r="4" spans="1:3">
      <c r="A4" t="s">
        <v>10</v>
      </c>
      <c r="B4" t="s">
        <v>4</v>
      </c>
      <c r="C4" t="s">
        <v>7</v>
      </c>
    </row>
    <row r="5" spans="1:3">
      <c r="A5" t="s">
        <v>11</v>
      </c>
      <c r="B5" t="s">
        <v>46</v>
      </c>
      <c r="C5" t="s">
        <v>7</v>
      </c>
    </row>
    <row r="6" spans="1:3">
      <c r="A6" t="s">
        <v>12</v>
      </c>
      <c r="B6" t="s">
        <v>5</v>
      </c>
      <c r="C6" t="s">
        <v>7</v>
      </c>
    </row>
    <row r="7" spans="1:3">
      <c r="A7" t="s">
        <v>13</v>
      </c>
      <c r="B7" t="s">
        <v>6</v>
      </c>
      <c r="C7" t="s">
        <v>7</v>
      </c>
    </row>
    <row r="8" spans="1:3">
      <c r="A8" t="s">
        <v>16</v>
      </c>
      <c r="B8" t="s">
        <v>25</v>
      </c>
      <c r="C8" t="s">
        <v>44</v>
      </c>
    </row>
    <row r="9" spans="1:3">
      <c r="A9" t="s">
        <v>17</v>
      </c>
      <c r="B9" t="s">
        <v>26</v>
      </c>
      <c r="C9" t="s">
        <v>44</v>
      </c>
    </row>
    <row r="10" spans="1:3">
      <c r="A10" t="s">
        <v>18</v>
      </c>
      <c r="B10" t="s">
        <v>27</v>
      </c>
      <c r="C10" t="s">
        <v>44</v>
      </c>
    </row>
    <row r="11" spans="1:3">
      <c r="A11" t="s">
        <v>19</v>
      </c>
      <c r="B11" t="s">
        <v>28</v>
      </c>
      <c r="C11" t="s">
        <v>44</v>
      </c>
    </row>
    <row r="12" spans="1:3">
      <c r="A12" t="s">
        <v>21</v>
      </c>
      <c r="B12" t="s">
        <v>29</v>
      </c>
      <c r="C12" t="s">
        <v>45</v>
      </c>
    </row>
    <row r="13" spans="1:3">
      <c r="A13" t="s">
        <v>22</v>
      </c>
      <c r="B13" t="s">
        <v>30</v>
      </c>
      <c r="C13" t="s">
        <v>45</v>
      </c>
    </row>
    <row r="14" spans="1:3">
      <c r="A14" t="s">
        <v>23</v>
      </c>
      <c r="B14" t="s">
        <v>31</v>
      </c>
      <c r="C14" t="s">
        <v>45</v>
      </c>
    </row>
  </sheetData>
  <sheetProtection sheet="1" objects="1" scenarios="1"/>
  <pageMargins left="0.7" right="0.7" top="0.75" bottom="0.75" header="0.3" footer="0.3"/>
  <pageSetup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289D8-E3BE-5A4B-A2A6-B54439AD44A5}">
  <sheetPr codeName="Sheet8"/>
  <dimension ref="A1:K62"/>
  <sheetViews>
    <sheetView zoomScaleNormal="100" workbookViewId="0">
      <selection activeCell="C3" sqref="C3"/>
    </sheetView>
  </sheetViews>
  <sheetFormatPr baseColWidth="10" defaultColWidth="0" defaultRowHeight="15" zeroHeight="1"/>
  <cols>
    <col min="1" max="1" width="2.5" style="72" customWidth="1"/>
    <col min="2" max="3" width="20.83203125" style="75" customWidth="1"/>
    <col min="4" max="4" width="23.33203125" style="75" customWidth="1"/>
    <col min="5" max="5" width="20.83203125" style="75" customWidth="1"/>
    <col min="6" max="6" width="2.5" style="72" customWidth="1"/>
    <col min="7" max="11" width="0" style="75" hidden="1" customWidth="1"/>
    <col min="12" max="16384" width="10.83203125" style="75" hidden="1"/>
  </cols>
  <sheetData>
    <row r="1" spans="1:10" s="71" customFormat="1">
      <c r="A1" s="70" t="s">
        <v>0</v>
      </c>
      <c r="F1" s="70" t="s">
        <v>0</v>
      </c>
    </row>
    <row r="2" spans="1:10" s="71" customFormat="1" ht="55" customHeight="1">
      <c r="A2" s="70"/>
      <c r="B2" s="219" t="s">
        <v>235</v>
      </c>
      <c r="C2" s="219"/>
      <c r="D2" s="219"/>
      <c r="E2" s="219"/>
      <c r="F2" s="70"/>
    </row>
    <row r="3" spans="1:10" s="71" customFormat="1">
      <c r="A3" s="70"/>
      <c r="F3" s="70"/>
    </row>
    <row r="4" spans="1:10" ht="19">
      <c r="B4" s="73" t="s">
        <v>2</v>
      </c>
      <c r="C4" s="74"/>
      <c r="D4" s="74"/>
      <c r="E4" s="74"/>
    </row>
    <row r="5" spans="1:10">
      <c r="B5" s="74"/>
      <c r="C5" s="74"/>
      <c r="D5" s="74"/>
      <c r="E5" s="74"/>
    </row>
    <row r="6" spans="1:10">
      <c r="B6" s="76"/>
      <c r="C6" s="220" t="s">
        <v>24</v>
      </c>
      <c r="D6" s="220"/>
      <c r="E6" s="220"/>
    </row>
    <row r="7" spans="1:10" ht="32">
      <c r="B7" s="77" t="s">
        <v>15</v>
      </c>
      <c r="C7" s="78" t="s">
        <v>29</v>
      </c>
      <c r="D7" s="78" t="s">
        <v>30</v>
      </c>
      <c r="E7" s="78" t="s">
        <v>31</v>
      </c>
    </row>
    <row r="8" spans="1:10" ht="33" customHeight="1">
      <c r="B8" s="79" t="s">
        <v>25</v>
      </c>
      <c r="C8" s="67">
        <f>IFERROR(COUNTIFS('Self-Assessment'!H$26:H$316,1,'Self-Assessment'!N$26:N$316,1,'Self-Assessment'!R$26:R$316,1),"")</f>
        <v>8</v>
      </c>
      <c r="D8" s="67">
        <f>IFERROR(COUNTIFS('Self-Assessment'!H$26:H$316,1,'Self-Assessment'!N$26:N$316,1,'Self-Assessment'!S$26:S$316,1),"")</f>
        <v>4</v>
      </c>
      <c r="E8" s="67">
        <f>IFERROR(COUNTIFS('Self-Assessment'!H$26:H$316,1,'Self-Assessment'!N$26:N$316,1,'Self-Assessment'!T$26:T$316,1),"")</f>
        <v>4</v>
      </c>
    </row>
    <row r="9" spans="1:10" ht="33" customHeight="1">
      <c r="B9" s="80" t="s">
        <v>26</v>
      </c>
      <c r="C9" s="68">
        <f>IFERROR(COUNTIFS('Self-Assessment'!H$26:H$316,1,'Self-Assessment'!O$26:O$316,1,'Self-Assessment'!R$26:R$316,1),"")</f>
        <v>5</v>
      </c>
      <c r="D9" s="68">
        <f>IFERROR(COUNTIFS('Self-Assessment'!H$26:H$316,1,'Self-Assessment'!O$26:O$316,1,'Self-Assessment'!S$26:S$316,1),"")</f>
        <v>2</v>
      </c>
      <c r="E9" s="68">
        <f>IFERROR(COUNTIFS('Self-Assessment'!H$26:H$316,1,'Self-Assessment'!O$26:O$316,1,'Self-Assessment'!T$26:T$316,1),"")</f>
        <v>1</v>
      </c>
    </row>
    <row r="10" spans="1:10" ht="33" customHeight="1">
      <c r="B10" s="80" t="s">
        <v>27</v>
      </c>
      <c r="C10" s="68">
        <f>IFERROR(COUNTIFS('Self-Assessment'!H$26:H$316,1,'Self-Assessment'!P$26:P$316,1,'Self-Assessment'!R$26:R$316,1),"")</f>
        <v>5</v>
      </c>
      <c r="D10" s="68">
        <f>IFERROR(COUNTIFS('Self-Assessment'!H$26:H$316,1,'Self-Assessment'!P$26:P$316,1,'Self-Assessment'!S$26:S$316,1),"")</f>
        <v>5</v>
      </c>
      <c r="E10" s="68">
        <f>IFERROR(COUNTIFS('Self-Assessment'!H$26:H$316,1,'Self-Assessment'!P$26:P$316,1,'Self-Assessment'!T$26:T$316,1),"")</f>
        <v>6</v>
      </c>
    </row>
    <row r="11" spans="1:10" ht="33" customHeight="1" thickBot="1">
      <c r="B11" s="81" t="s">
        <v>28</v>
      </c>
      <c r="C11" s="69">
        <f>IFERROR(COUNTIFS('Self-Assessment'!H$26:H$316,1,'Self-Assessment'!Q$26:Q$316,1,'Self-Assessment'!R$26:R$316,1),"")</f>
        <v>3</v>
      </c>
      <c r="D11" s="69">
        <f>IFERROR(COUNTIFS('Self-Assessment'!H$26:H$316,1,'Self-Assessment'!Q$26:Q$316,1,'Self-Assessment'!S$26:S$316,1),"")</f>
        <v>2</v>
      </c>
      <c r="E11" s="69">
        <f>IFERROR(COUNTIFS('Self-Assessment'!H$26:H$316,1,'Self-Assessment'!Q$26:Q$316,1,'Self-Assessment'!T$26:T$316,1),"")</f>
        <v>7</v>
      </c>
    </row>
    <row r="12" spans="1:10" ht="16" thickTop="1">
      <c r="B12" s="71"/>
      <c r="C12" s="71"/>
      <c r="D12" s="71"/>
      <c r="E12" s="71"/>
    </row>
    <row r="13" spans="1:10" ht="19">
      <c r="B13" s="73" t="s">
        <v>3</v>
      </c>
      <c r="C13" s="74"/>
      <c r="D13" s="74"/>
      <c r="E13" s="74"/>
    </row>
    <row r="14" spans="1:10">
      <c r="B14" s="74"/>
      <c r="C14" s="74"/>
      <c r="D14" s="74"/>
      <c r="E14" s="74"/>
    </row>
    <row r="15" spans="1:10">
      <c r="B15" s="76"/>
      <c r="C15" s="220" t="s">
        <v>24</v>
      </c>
      <c r="D15" s="220"/>
      <c r="E15" s="220"/>
    </row>
    <row r="16" spans="1:10" s="72" customFormat="1" ht="32">
      <c r="B16" s="77" t="s">
        <v>15</v>
      </c>
      <c r="C16" s="78" t="s">
        <v>29</v>
      </c>
      <c r="D16" s="78" t="s">
        <v>30</v>
      </c>
      <c r="E16" s="78" t="s">
        <v>31</v>
      </c>
      <c r="G16" s="75"/>
      <c r="H16" s="75"/>
      <c r="I16" s="75"/>
      <c r="J16" s="75"/>
    </row>
    <row r="17" spans="2:10" s="72" customFormat="1" ht="33" customHeight="1">
      <c r="B17" s="79" t="s">
        <v>25</v>
      </c>
      <c r="C17" s="67">
        <f>IFERROR(COUNTIFS('Self-Assessment'!I$26:I$316,1,'Self-Assessment'!N$26:N$316,1,'Self-Assessment'!R$26:R$316,1),"")</f>
        <v>4</v>
      </c>
      <c r="D17" s="67">
        <f>IFERROR(COUNTIFS('Self-Assessment'!I$26:I$316,1,'Self-Assessment'!N$26:N$316,1,'Self-Assessment'!S$26:S$316,1),"")</f>
        <v>1</v>
      </c>
      <c r="E17" s="67">
        <f>IFERROR(COUNTIFS('Self-Assessment'!I$26:I$316,1,'Self-Assessment'!N$26:N$316,1,'Self-Assessment'!T$26:T$316,1),"")</f>
        <v>3</v>
      </c>
      <c r="G17" s="75"/>
      <c r="H17" s="75"/>
      <c r="I17" s="75"/>
      <c r="J17" s="75"/>
    </row>
    <row r="18" spans="2:10" s="72" customFormat="1" ht="33" customHeight="1">
      <c r="B18" s="80" t="s">
        <v>26</v>
      </c>
      <c r="C18" s="68">
        <f>IFERROR(COUNTIFS('Self-Assessment'!I$26:I$316,1,'Self-Assessment'!O$26:O$316,1,'Self-Assessment'!R$26:R$316,1),"")</f>
        <v>2</v>
      </c>
      <c r="D18" s="68">
        <f>IFERROR(COUNTIFS('Self-Assessment'!I$26:I$316,1,'Self-Assessment'!O$26:O$316,1,'Self-Assessment'!S$26:S$316,1),"")</f>
        <v>1</v>
      </c>
      <c r="E18" s="68">
        <f>IFERROR(COUNTIFS('Self-Assessment'!I$26:I$316,1,'Self-Assessment'!O$26:O$316,1,'Self-Assessment'!T$26:T$316,1),"")</f>
        <v>4</v>
      </c>
      <c r="G18" s="75"/>
      <c r="H18" s="75"/>
      <c r="I18" s="75"/>
      <c r="J18" s="75"/>
    </row>
    <row r="19" spans="2:10" s="72" customFormat="1" ht="33" customHeight="1">
      <c r="B19" s="80" t="s">
        <v>27</v>
      </c>
      <c r="C19" s="68">
        <f>IFERROR(COUNTIFS('Self-Assessment'!I$26:I$316,1,'Self-Assessment'!P$26:P$316,1,'Self-Assessment'!R$26:R$316,1),"")</f>
        <v>6</v>
      </c>
      <c r="D19" s="68">
        <f>IFERROR(COUNTIFS('Self-Assessment'!I$26:I$316,1,'Self-Assessment'!P$26:P$316,1,'Self-Assessment'!S$26:S$316,1),"")</f>
        <v>3</v>
      </c>
      <c r="E19" s="68">
        <f>IFERROR(COUNTIFS('Self-Assessment'!I$26:I$316,1,'Self-Assessment'!P$26:P$316,1,'Self-Assessment'!T$26:T$316,1),"")</f>
        <v>7</v>
      </c>
      <c r="G19" s="75"/>
      <c r="H19" s="75"/>
      <c r="I19" s="75"/>
      <c r="J19" s="75"/>
    </row>
    <row r="20" spans="2:10" s="72" customFormat="1" ht="33" customHeight="1" thickBot="1">
      <c r="B20" s="81" t="s">
        <v>28</v>
      </c>
      <c r="C20" s="69">
        <f>IFERROR(COUNTIFS('Self-Assessment'!I$26:I$316,1,'Self-Assessment'!Q$26:Q$316,1,'Self-Assessment'!R$26:R$316,1),"")</f>
        <v>2</v>
      </c>
      <c r="D20" s="69">
        <f>IFERROR(COUNTIFS('Self-Assessment'!I$26:I$316,1,'Self-Assessment'!Q$26:Q$316,1,'Self-Assessment'!S$26:S$316,1),"")</f>
        <v>2</v>
      </c>
      <c r="E20" s="69">
        <f>IFERROR(COUNTIFS('Self-Assessment'!I$26:I$316,1,'Self-Assessment'!Q$26:Q$316,1,'Self-Assessment'!T$26:T$316,1),"")</f>
        <v>4</v>
      </c>
      <c r="G20" s="75"/>
      <c r="H20" s="75"/>
      <c r="I20" s="75"/>
      <c r="J20" s="75"/>
    </row>
    <row r="21" spans="2:10" s="72" customFormat="1" ht="16" thickTop="1">
      <c r="B21" s="71"/>
      <c r="C21" s="71"/>
      <c r="D21" s="71"/>
      <c r="E21" s="71"/>
      <c r="G21" s="75"/>
      <c r="H21" s="75"/>
      <c r="I21" s="75"/>
      <c r="J21" s="75"/>
    </row>
    <row r="22" spans="2:10" s="72" customFormat="1" ht="19">
      <c r="B22" s="73" t="s">
        <v>4</v>
      </c>
      <c r="C22" s="74"/>
      <c r="D22" s="74"/>
      <c r="E22" s="74"/>
      <c r="G22" s="75"/>
      <c r="H22" s="75"/>
      <c r="I22" s="75"/>
      <c r="J22" s="75"/>
    </row>
    <row r="23" spans="2:10" s="72" customFormat="1">
      <c r="B23" s="74"/>
      <c r="C23" s="74"/>
      <c r="D23" s="74"/>
      <c r="E23" s="74"/>
      <c r="G23" s="75"/>
      <c r="H23" s="75"/>
      <c r="I23" s="75"/>
      <c r="J23" s="75"/>
    </row>
    <row r="24" spans="2:10" s="72" customFormat="1">
      <c r="B24" s="76"/>
      <c r="C24" s="220" t="s">
        <v>24</v>
      </c>
      <c r="D24" s="220"/>
      <c r="E24" s="220"/>
      <c r="G24" s="75"/>
      <c r="H24" s="75"/>
      <c r="I24" s="75"/>
      <c r="J24" s="75"/>
    </row>
    <row r="25" spans="2:10" s="72" customFormat="1" ht="32">
      <c r="B25" s="77" t="s">
        <v>15</v>
      </c>
      <c r="C25" s="78" t="s">
        <v>29</v>
      </c>
      <c r="D25" s="78" t="s">
        <v>30</v>
      </c>
      <c r="E25" s="78" t="s">
        <v>31</v>
      </c>
      <c r="G25" s="75"/>
      <c r="H25" s="75"/>
      <c r="I25" s="75"/>
      <c r="J25" s="75"/>
    </row>
    <row r="26" spans="2:10" s="72" customFormat="1" ht="33" customHeight="1">
      <c r="B26" s="79" t="s">
        <v>25</v>
      </c>
      <c r="C26" s="67">
        <f>IFERROR(COUNTIFS('Self-Assessment'!J$26:J$316,1,'Self-Assessment'!N$26:N$316,1,'Self-Assessment'!R$26:R$316,1),"")</f>
        <v>3</v>
      </c>
      <c r="D26" s="67">
        <f>IFERROR(COUNTIFS('Self-Assessment'!J$26:J$316,1,'Self-Assessment'!N$26:N$316,1,'Self-Assessment'!S$26:S$316,1),"")</f>
        <v>3</v>
      </c>
      <c r="E26" s="67">
        <f>IFERROR(COUNTIFS('Self-Assessment'!J$26:J$316,1,'Self-Assessment'!N$26:N$316,1,'Self-Assessment'!T$26:T$316,1),"")</f>
        <v>3</v>
      </c>
      <c r="G26" s="75"/>
      <c r="H26" s="75"/>
      <c r="I26" s="75"/>
      <c r="J26" s="75"/>
    </row>
    <row r="27" spans="2:10" s="72" customFormat="1" ht="33" customHeight="1">
      <c r="B27" s="80" t="s">
        <v>26</v>
      </c>
      <c r="C27" s="68">
        <f>IFERROR(COUNTIFS('Self-Assessment'!J$26:J$316,1,'Self-Assessment'!O$26:O$316,1,'Self-Assessment'!R$26:R$316,1),"")</f>
        <v>1</v>
      </c>
      <c r="D27" s="68">
        <f>IFERROR(COUNTIFS('Self-Assessment'!J$26:J$316,1,'Self-Assessment'!O$26:O$316,1,'Self-Assessment'!S$26:S$316,1),"")</f>
        <v>1</v>
      </c>
      <c r="E27" s="68">
        <f>IFERROR(COUNTIFS('Self-Assessment'!J$26:J$316,1,'Self-Assessment'!O$26:O$316,1,'Self-Assessment'!T$26:T$316,1),"")</f>
        <v>5</v>
      </c>
      <c r="G27" s="75"/>
      <c r="H27" s="75"/>
      <c r="I27" s="75"/>
      <c r="J27" s="75"/>
    </row>
    <row r="28" spans="2:10" s="72" customFormat="1" ht="33" customHeight="1">
      <c r="B28" s="80" t="s">
        <v>27</v>
      </c>
      <c r="C28" s="68">
        <f>IFERROR(COUNTIFS('Self-Assessment'!J$26:J$316,1,'Self-Assessment'!P$26:P$316,1,'Self-Assessment'!R$26:R$316,1),"")</f>
        <v>2</v>
      </c>
      <c r="D28" s="68">
        <f>IFERROR(COUNTIFS('Self-Assessment'!J$26:J$316,1,'Self-Assessment'!P$26:P$316,1,'Self-Assessment'!S$26:S$316,1),"")</f>
        <v>4</v>
      </c>
      <c r="E28" s="68">
        <f>IFERROR(COUNTIFS('Self-Assessment'!J$26:J$316,1,'Self-Assessment'!P$26:P$316,1,'Self-Assessment'!T$26:T$316,1),"")</f>
        <v>5</v>
      </c>
      <c r="G28" s="75"/>
      <c r="H28" s="75"/>
      <c r="I28" s="75"/>
      <c r="J28" s="75"/>
    </row>
    <row r="29" spans="2:10" s="72" customFormat="1" ht="33" customHeight="1" thickBot="1">
      <c r="B29" s="81" t="s">
        <v>28</v>
      </c>
      <c r="C29" s="69">
        <f>IFERROR(COUNTIFS('Self-Assessment'!J$26:J$316,1,'Self-Assessment'!Q$26:Q$316,1,'Self-Assessment'!R$26:R$316,1),"")</f>
        <v>3</v>
      </c>
      <c r="D29" s="69">
        <f>IFERROR(COUNTIFS('Self-Assessment'!J$26:J$316,1,'Self-Assessment'!Q$26:Q$316,1,'Self-Assessment'!S$26:S$316,1),"")</f>
        <v>1</v>
      </c>
      <c r="E29" s="69">
        <f>IFERROR(COUNTIFS('Self-Assessment'!J$26:J$316,1,'Self-Assessment'!Q$26:Q$316,1,'Self-Assessment'!T$26:T$316,1),"")</f>
        <v>2</v>
      </c>
      <c r="G29" s="75"/>
      <c r="H29" s="75"/>
      <c r="I29" s="75"/>
      <c r="J29" s="75"/>
    </row>
    <row r="30" spans="2:10" s="72" customFormat="1" ht="16" thickTop="1">
      <c r="B30" s="71"/>
      <c r="C30" s="71"/>
      <c r="D30" s="71"/>
      <c r="E30" s="71"/>
      <c r="G30" s="75"/>
      <c r="H30" s="75"/>
      <c r="I30" s="75"/>
      <c r="J30" s="75"/>
    </row>
    <row r="31" spans="2:10" s="72" customFormat="1" ht="19">
      <c r="B31" s="73" t="s">
        <v>56</v>
      </c>
      <c r="C31" s="74"/>
      <c r="D31" s="74"/>
      <c r="E31" s="74"/>
      <c r="G31" s="75"/>
      <c r="H31" s="75"/>
      <c r="I31" s="75"/>
      <c r="J31" s="75"/>
    </row>
    <row r="32" spans="2:10" s="72" customFormat="1">
      <c r="B32" s="74"/>
      <c r="C32" s="74"/>
      <c r="D32" s="74"/>
      <c r="E32" s="74"/>
      <c r="G32" s="75"/>
      <c r="H32" s="75"/>
      <c r="I32" s="75"/>
      <c r="J32" s="75"/>
    </row>
    <row r="33" spans="2:10" s="72" customFormat="1">
      <c r="B33" s="76"/>
      <c r="C33" s="220" t="s">
        <v>24</v>
      </c>
      <c r="D33" s="220"/>
      <c r="E33" s="220"/>
      <c r="G33" s="75"/>
      <c r="H33" s="75"/>
      <c r="I33" s="75"/>
      <c r="J33" s="75"/>
    </row>
    <row r="34" spans="2:10" s="72" customFormat="1" ht="32">
      <c r="B34" s="77" t="s">
        <v>15</v>
      </c>
      <c r="C34" s="78" t="s">
        <v>29</v>
      </c>
      <c r="D34" s="78" t="s">
        <v>30</v>
      </c>
      <c r="E34" s="78" t="s">
        <v>31</v>
      </c>
      <c r="G34" s="75"/>
      <c r="H34" s="75"/>
      <c r="I34" s="75"/>
      <c r="J34" s="75"/>
    </row>
    <row r="35" spans="2:10" s="72" customFormat="1" ht="33" customHeight="1">
      <c r="B35" s="79" t="s">
        <v>25</v>
      </c>
      <c r="C35" s="67">
        <f>IFERROR(COUNTIFS('Self-Assessment'!K$26:K$316,1,'Self-Assessment'!N$26:N$316,1,'Self-Assessment'!R$26:R$316,1),"")</f>
        <v>8</v>
      </c>
      <c r="D35" s="67">
        <f>IFERROR(COUNTIFS('Self-Assessment'!K$26:K$316,1,'Self-Assessment'!N$26:N$316,1,'Self-Assessment'!S$26:S$316,1),"")</f>
        <v>3</v>
      </c>
      <c r="E35" s="67">
        <f>IFERROR(COUNTIFS('Self-Assessment'!K$26:K$316,1,'Self-Assessment'!N$26:N$316,1,'Self-Assessment'!T$26:T$316,1),"")</f>
        <v>5</v>
      </c>
      <c r="G35" s="75"/>
      <c r="H35" s="75"/>
      <c r="I35" s="75"/>
      <c r="J35" s="75"/>
    </row>
    <row r="36" spans="2:10" s="72" customFormat="1" ht="33" customHeight="1">
      <c r="B36" s="80" t="s">
        <v>26</v>
      </c>
      <c r="C36" s="68">
        <f>IFERROR(COUNTIFS('Self-Assessment'!K$26:K$316,1,'Self-Assessment'!O$26:O$316,1,'Self-Assessment'!R$26:R$316,1),"")</f>
        <v>8</v>
      </c>
      <c r="D36" s="68">
        <f>IFERROR(COUNTIFS('Self-Assessment'!K$26:K$316,1,'Self-Assessment'!O$26:O$316,1,'Self-Assessment'!S$26:S$316,1),"")</f>
        <v>2</v>
      </c>
      <c r="E36" s="68">
        <f>IFERROR(COUNTIFS('Self-Assessment'!K$26:K$316,1,'Self-Assessment'!O$26:O$316,1,'Self-Assessment'!T$26:T$316,1),"")</f>
        <v>4</v>
      </c>
      <c r="G36" s="75"/>
      <c r="H36" s="75"/>
      <c r="I36" s="75"/>
      <c r="J36" s="75"/>
    </row>
    <row r="37" spans="2:10" s="72" customFormat="1" ht="33" customHeight="1">
      <c r="B37" s="80" t="s">
        <v>27</v>
      </c>
      <c r="C37" s="68">
        <f>IFERROR(COUNTIFS('Self-Assessment'!K$26:K$316,1,'Self-Assessment'!P$26:P$316,1,'Self-Assessment'!R$26:R$316,1),"")</f>
        <v>5</v>
      </c>
      <c r="D37" s="68">
        <f>IFERROR(COUNTIFS('Self-Assessment'!K$26:K$316,1,'Self-Assessment'!P$26:P$316,1,'Self-Assessment'!S$26:S$316,1),"")</f>
        <v>2</v>
      </c>
      <c r="E37" s="68">
        <f>IFERROR(COUNTIFS('Self-Assessment'!K$26:K$316,1,'Self-Assessment'!P$26:P$316,1,'Self-Assessment'!T$26:T$316,1),"")</f>
        <v>1</v>
      </c>
      <c r="G37" s="75"/>
      <c r="H37" s="75"/>
      <c r="I37" s="75"/>
      <c r="J37" s="75"/>
    </row>
    <row r="38" spans="2:10" s="72" customFormat="1" ht="33" customHeight="1" thickBot="1">
      <c r="B38" s="81" t="s">
        <v>28</v>
      </c>
      <c r="C38" s="69">
        <f>IFERROR(COUNTIFS('Self-Assessment'!K$26:K$316,1,'Self-Assessment'!Q$26:Q$316,1,'Self-Assessment'!R$26:R$316,1),"")</f>
        <v>5</v>
      </c>
      <c r="D38" s="69">
        <f>IFERROR(COUNTIFS('Self-Assessment'!K$26:K$316,1,'Self-Assessment'!Q$26:Q$316,1,'Self-Assessment'!S$26:S$316,1),"")</f>
        <v>1</v>
      </c>
      <c r="E38" s="69">
        <f>IFERROR(COUNTIFS('Self-Assessment'!K$26:K$316,1,'Self-Assessment'!Q$26:Q$316,1,'Self-Assessment'!T$26:T$316,1),"")</f>
        <v>3</v>
      </c>
      <c r="G38" s="75"/>
      <c r="H38" s="75"/>
      <c r="I38" s="75"/>
      <c r="J38" s="75"/>
    </row>
    <row r="39" spans="2:10" s="72" customFormat="1" ht="16" thickTop="1">
      <c r="B39" s="71"/>
      <c r="C39" s="71"/>
      <c r="D39" s="71"/>
      <c r="E39" s="71"/>
      <c r="G39" s="75"/>
      <c r="H39" s="75"/>
      <c r="I39" s="75"/>
      <c r="J39" s="75"/>
    </row>
    <row r="40" spans="2:10" s="72" customFormat="1">
      <c r="B40" s="71"/>
      <c r="C40" s="71"/>
      <c r="D40" s="71"/>
      <c r="E40" s="71"/>
      <c r="G40" s="75"/>
      <c r="H40" s="75"/>
      <c r="I40" s="75"/>
      <c r="J40" s="75"/>
    </row>
    <row r="41" spans="2:10" s="72" customFormat="1" ht="19">
      <c r="B41" s="73" t="s">
        <v>5</v>
      </c>
      <c r="C41" s="74"/>
      <c r="D41" s="74"/>
      <c r="E41" s="74"/>
      <c r="G41" s="75"/>
      <c r="H41" s="75"/>
      <c r="I41" s="75"/>
      <c r="J41" s="75"/>
    </row>
    <row r="42" spans="2:10" s="72" customFormat="1">
      <c r="B42" s="74"/>
      <c r="C42" s="74"/>
      <c r="D42" s="74"/>
      <c r="E42" s="74"/>
      <c r="G42" s="75"/>
      <c r="H42" s="75"/>
      <c r="I42" s="75"/>
      <c r="J42" s="75"/>
    </row>
    <row r="43" spans="2:10" s="72" customFormat="1">
      <c r="B43" s="76"/>
      <c r="C43" s="220" t="s">
        <v>24</v>
      </c>
      <c r="D43" s="220"/>
      <c r="E43" s="220"/>
      <c r="G43" s="75"/>
      <c r="H43" s="75"/>
      <c r="I43" s="75"/>
      <c r="J43" s="75"/>
    </row>
    <row r="44" spans="2:10" s="72" customFormat="1" ht="32">
      <c r="B44" s="77" t="s">
        <v>15</v>
      </c>
      <c r="C44" s="78" t="s">
        <v>29</v>
      </c>
      <c r="D44" s="78" t="s">
        <v>30</v>
      </c>
      <c r="E44" s="78" t="s">
        <v>31</v>
      </c>
      <c r="G44" s="75"/>
      <c r="H44" s="75"/>
      <c r="I44" s="75"/>
      <c r="J44" s="75"/>
    </row>
    <row r="45" spans="2:10" s="72" customFormat="1" ht="33" customHeight="1">
      <c r="B45" s="79" t="s">
        <v>25</v>
      </c>
      <c r="C45" s="67">
        <f>IFERROR(COUNTIFS('Self-Assessment'!L$26:L$316,1,'Self-Assessment'!N$26:N$316,1,'Self-Assessment'!R$26:R$316,1),"")</f>
        <v>8</v>
      </c>
      <c r="D45" s="67">
        <f>IFERROR(COUNTIFS('Self-Assessment'!L$26:L$316,1,'Self-Assessment'!N$26:N$316,1,'Self-Assessment'!S$26:S$316,1),"")</f>
        <v>1</v>
      </c>
      <c r="E45" s="67">
        <f>IFERROR(COUNTIFS('Self-Assessment'!L$26:L$316,1,'Self-Assessment'!N$26:N$316,1,'Self-Assessment'!T$26:T$316,1),"")</f>
        <v>5</v>
      </c>
      <c r="G45" s="75"/>
      <c r="H45" s="75"/>
      <c r="I45" s="75"/>
      <c r="J45" s="75"/>
    </row>
    <row r="46" spans="2:10" s="72" customFormat="1" ht="33" customHeight="1">
      <c r="B46" s="80" t="s">
        <v>26</v>
      </c>
      <c r="C46" s="68">
        <f>IFERROR(COUNTIFS('Self-Assessment'!L$26:L$316,1,'Self-Assessment'!O$26:O$316,1,'Self-Assessment'!R$26:R$316,1),"")</f>
        <v>4</v>
      </c>
      <c r="D46" s="68">
        <f>IFERROR(COUNTIFS('Self-Assessment'!L$26:L$316,1,'Self-Assessment'!O$26:O$316,1,'Self-Assessment'!S$26:S$316,1),"")</f>
        <v>2</v>
      </c>
      <c r="E46" s="68">
        <f>IFERROR(COUNTIFS('Self-Assessment'!L$26:L$316,1,'Self-Assessment'!O$26:O$316,1,'Self-Assessment'!T$26:T$316,1),"")</f>
        <v>5</v>
      </c>
      <c r="G46" s="75"/>
      <c r="H46" s="75"/>
      <c r="I46" s="75"/>
      <c r="J46" s="75"/>
    </row>
    <row r="47" spans="2:10" s="72" customFormat="1" ht="33" customHeight="1">
      <c r="B47" s="80" t="s">
        <v>27</v>
      </c>
      <c r="C47" s="68">
        <f>IFERROR(COUNTIFS('Self-Assessment'!L$26:L$316,1,'Self-Assessment'!P$26:P$316,1,'Self-Assessment'!R$26:R$316,1),"")</f>
        <v>2</v>
      </c>
      <c r="D47" s="68">
        <f>IFERROR(COUNTIFS('Self-Assessment'!L$26:L$316,1,'Self-Assessment'!P$26:P$316,1,'Self-Assessment'!S$26:S$316,1),"")</f>
        <v>1</v>
      </c>
      <c r="E47" s="68">
        <f>IFERROR(COUNTIFS('Self-Assessment'!L$26:L$316,1,'Self-Assessment'!P$26:P$316,1,'Self-Assessment'!T$26:T$316,1),"")</f>
        <v>4</v>
      </c>
      <c r="G47" s="75"/>
      <c r="H47" s="75"/>
      <c r="I47" s="75"/>
      <c r="J47" s="75"/>
    </row>
    <row r="48" spans="2:10" s="72" customFormat="1" ht="33" customHeight="1" thickBot="1">
      <c r="B48" s="81" t="s">
        <v>28</v>
      </c>
      <c r="C48" s="69">
        <f>IFERROR(COUNTIFS('Self-Assessment'!L$26:L$316,1,'Self-Assessment'!Q$26:Q$316,1,'Self-Assessment'!R$26:R$316,1),"")</f>
        <v>1</v>
      </c>
      <c r="D48" s="69">
        <f>IFERROR(COUNTIFS('Self-Assessment'!L$26:L$316,1,'Self-Assessment'!Q$26:Q$316,1,'Self-Assessment'!S$26:S$316,1),"")</f>
        <v>1</v>
      </c>
      <c r="E48" s="69">
        <f>IFERROR(COUNTIFS('Self-Assessment'!L$26:L$316,1,'Self-Assessment'!Q$26:Q$316,1,'Self-Assessment'!T$26:T$316,1),"")</f>
        <v>4</v>
      </c>
      <c r="G48" s="75"/>
      <c r="H48" s="75"/>
      <c r="I48" s="75"/>
      <c r="J48" s="75"/>
    </row>
    <row r="49" spans="2:10" s="72" customFormat="1" ht="16" thickTop="1">
      <c r="B49" s="71"/>
      <c r="C49" s="71"/>
      <c r="D49" s="71"/>
      <c r="E49" s="71"/>
      <c r="G49" s="75"/>
      <c r="H49" s="75"/>
      <c r="I49" s="75"/>
      <c r="J49" s="75"/>
    </row>
    <row r="50" spans="2:10" s="72" customFormat="1" ht="19">
      <c r="B50" s="73" t="s">
        <v>6</v>
      </c>
      <c r="C50" s="74"/>
      <c r="D50" s="74"/>
      <c r="E50" s="74"/>
      <c r="G50" s="75"/>
      <c r="H50" s="75"/>
      <c r="I50" s="75"/>
      <c r="J50" s="75"/>
    </row>
    <row r="51" spans="2:10" s="72" customFormat="1" hidden="1">
      <c r="B51" s="74"/>
      <c r="C51" s="74"/>
      <c r="D51" s="74"/>
      <c r="E51" s="74"/>
      <c r="G51" s="75"/>
      <c r="H51" s="75"/>
      <c r="I51" s="75"/>
      <c r="J51" s="75"/>
    </row>
    <row r="52" spans="2:10" s="72" customFormat="1">
      <c r="B52" s="76"/>
      <c r="C52" s="220" t="s">
        <v>24</v>
      </c>
      <c r="D52" s="220"/>
      <c r="E52" s="220"/>
      <c r="G52" s="75"/>
      <c r="H52" s="75"/>
      <c r="I52" s="75"/>
      <c r="J52" s="75"/>
    </row>
    <row r="53" spans="2:10" s="72" customFormat="1" ht="32">
      <c r="B53" s="77" t="s">
        <v>15</v>
      </c>
      <c r="C53" s="78" t="s">
        <v>29</v>
      </c>
      <c r="D53" s="78" t="s">
        <v>30</v>
      </c>
      <c r="E53" s="78" t="s">
        <v>31</v>
      </c>
      <c r="G53" s="75"/>
      <c r="H53" s="75"/>
      <c r="I53" s="75"/>
      <c r="J53" s="75"/>
    </row>
    <row r="54" spans="2:10" s="72" customFormat="1" ht="33" customHeight="1">
      <c r="B54" s="79" t="s">
        <v>25</v>
      </c>
      <c r="C54" s="67">
        <f>IFERROR(COUNTIFS('Self-Assessment'!M$26:M$316,1,'Self-Assessment'!N$26:N$316,1,'Self-Assessment'!R$26:R$316,1),"")</f>
        <v>1</v>
      </c>
      <c r="D54" s="67">
        <f>IFERROR(COUNTIFS('Self-Assessment'!M$26:M$316,1,'Self-Assessment'!N$26:N$316,1,'Self-Assessment'!S$26:S$316,1),"")</f>
        <v>2</v>
      </c>
      <c r="E54" s="67">
        <f>IFERROR(COUNTIFS('Self-Assessment'!M$26:M$316,1,'Self-Assessment'!N$26:N$316,1,'Self-Assessment'!T$26:T$316,1),"")</f>
        <v>2</v>
      </c>
      <c r="G54" s="75"/>
      <c r="H54" s="75"/>
      <c r="I54" s="75"/>
      <c r="J54" s="75"/>
    </row>
    <row r="55" spans="2:10" s="72" customFormat="1" ht="33" customHeight="1">
      <c r="B55" s="80" t="s">
        <v>26</v>
      </c>
      <c r="C55" s="68">
        <f>IFERROR(COUNTIFS('Self-Assessment'!M$26:M$316,1,'Self-Assessment'!O$26:O$316,1,'Self-Assessment'!R$26:R$316,1),"")</f>
        <v>3</v>
      </c>
      <c r="D55" s="68">
        <f>IFERROR(COUNTIFS('Self-Assessment'!M$26:M$316,1,'Self-Assessment'!O$26:O$316,1,'Self-Assessment'!S$26:S$316,1),"")</f>
        <v>2</v>
      </c>
      <c r="E55" s="68">
        <f>IFERROR(COUNTIFS('Self-Assessment'!M$26:M$316,1,'Self-Assessment'!O$26:O$316,1,'Self-Assessment'!T$26:T$316,1),"")</f>
        <v>4</v>
      </c>
      <c r="G55" s="75"/>
      <c r="H55" s="75"/>
      <c r="I55" s="75"/>
      <c r="J55" s="75"/>
    </row>
    <row r="56" spans="2:10" s="72" customFormat="1" ht="33" customHeight="1">
      <c r="B56" s="80" t="s">
        <v>27</v>
      </c>
      <c r="C56" s="68">
        <f>IFERROR(COUNTIFS('Self-Assessment'!M$26:M$316,1,'Self-Assessment'!P$26:P$316,1,'Self-Assessment'!R$26:R$316,1),"")</f>
        <v>3</v>
      </c>
      <c r="D56" s="68">
        <f>IFERROR(COUNTIFS('Self-Assessment'!M$26:M$316,1,'Self-Assessment'!P$26:P$316,1,'Self-Assessment'!S$26:S$316,1),"")</f>
        <v>1</v>
      </c>
      <c r="E56" s="68">
        <f>IFERROR(COUNTIFS('Self-Assessment'!M$26:M$316,1,'Self-Assessment'!P$26:P$316,1,'Self-Assessment'!T$26:T$316,1),"")</f>
        <v>2</v>
      </c>
      <c r="G56" s="75"/>
      <c r="H56" s="75"/>
      <c r="I56" s="75"/>
      <c r="J56" s="75"/>
    </row>
    <row r="57" spans="2:10" s="72" customFormat="1" ht="33" customHeight="1" thickBot="1">
      <c r="B57" s="81" t="s">
        <v>28</v>
      </c>
      <c r="C57" s="69">
        <f>IFERROR(COUNTIFS('Self-Assessment'!M$26:M$316,1,'Self-Assessment'!Q$26:Q$316,1,'Self-Assessment'!R$26:R$316,1),"")</f>
        <v>1</v>
      </c>
      <c r="D57" s="69">
        <f>IFERROR(COUNTIFS('Self-Assessment'!M$26:M$316,1,'Self-Assessment'!Q$26:Q$316,1,'Self-Assessment'!S$26:S$316,1),"")</f>
        <v>3</v>
      </c>
      <c r="E57" s="69">
        <f>IFERROR(COUNTIFS('Self-Assessment'!M$26:M$316,1,'Self-Assessment'!Q$26:Q$316,1,'Self-Assessment'!T$26:T$316,1),"")</f>
        <v>2</v>
      </c>
      <c r="G57" s="75"/>
      <c r="H57" s="75"/>
      <c r="I57" s="75"/>
      <c r="J57" s="75"/>
    </row>
    <row r="58" spans="2:10" s="72" customFormat="1" ht="16" hidden="1" thickTop="1">
      <c r="B58" s="71"/>
      <c r="C58" s="71"/>
      <c r="D58" s="71"/>
      <c r="E58" s="71"/>
      <c r="G58" s="75"/>
      <c r="H58" s="75"/>
      <c r="I58" s="75"/>
      <c r="J58" s="75"/>
    </row>
    <row r="59" spans="2:10" ht="16" hidden="1" thickTop="1"/>
    <row r="60" spans="2:10" s="72" customFormat="1" ht="16" thickTop="1">
      <c r="B60" s="71"/>
      <c r="C60" s="71"/>
      <c r="D60" s="71"/>
      <c r="E60" s="71"/>
      <c r="G60" s="75"/>
      <c r="H60" s="75"/>
      <c r="I60" s="75"/>
      <c r="J60" s="75"/>
    </row>
    <row r="62" spans="2:10" s="72" customFormat="1" hidden="1">
      <c r="B62" s="71"/>
      <c r="C62" s="71"/>
      <c r="D62" s="71"/>
      <c r="E62" s="71"/>
      <c r="G62" s="75"/>
      <c r="H62" s="75"/>
      <c r="I62" s="75"/>
      <c r="J62" s="75"/>
    </row>
  </sheetData>
  <sheetProtection sheet="1" objects="1" scenarios="1"/>
  <mergeCells count="7">
    <mergeCell ref="B2:E2"/>
    <mergeCell ref="C33:E33"/>
    <mergeCell ref="C43:E43"/>
    <mergeCell ref="C52:E52"/>
    <mergeCell ref="C6:E6"/>
    <mergeCell ref="C15:E15"/>
    <mergeCell ref="C24:E24"/>
  </mergeCells>
  <conditionalFormatting sqref="C8:E11">
    <cfRule type="colorScale" priority="18">
      <colorScale>
        <cfvo type="num" val="0"/>
        <cfvo type="num" val="1.5"/>
        <cfvo type="num" val="3"/>
        <color rgb="FFF8696B"/>
        <color rgb="FFFFEB84"/>
        <color rgb="FF63BE7B"/>
      </colorScale>
    </cfRule>
  </conditionalFormatting>
  <conditionalFormatting sqref="C17:E20">
    <cfRule type="colorScale" priority="19">
      <colorScale>
        <cfvo type="num" val="0"/>
        <cfvo type="num" val="1.5"/>
        <cfvo type="num" val="3"/>
        <color rgb="FFF8696B"/>
        <color rgb="FFFFEB84"/>
        <color rgb="FF63BE7B"/>
      </colorScale>
    </cfRule>
  </conditionalFormatting>
  <conditionalFormatting sqref="C26:E29">
    <cfRule type="colorScale" priority="20">
      <colorScale>
        <cfvo type="num" val="0"/>
        <cfvo type="num" val="1.5"/>
        <cfvo type="num" val="3"/>
        <color rgb="FFF8696B"/>
        <color rgb="FFFFEB84"/>
        <color rgb="FF63BE7B"/>
      </colorScale>
    </cfRule>
  </conditionalFormatting>
  <conditionalFormatting sqref="C35:E38">
    <cfRule type="colorScale" priority="21">
      <colorScale>
        <cfvo type="num" val="0"/>
        <cfvo type="num" val="1.5"/>
        <cfvo type="num" val="3"/>
        <color rgb="FFF8696B"/>
        <color rgb="FFFFEB84"/>
        <color rgb="FF63BE7B"/>
      </colorScale>
    </cfRule>
  </conditionalFormatting>
  <conditionalFormatting sqref="C45:E48">
    <cfRule type="colorScale" priority="22">
      <colorScale>
        <cfvo type="num" val="0"/>
        <cfvo type="num" val="1.5"/>
        <cfvo type="num" val="3"/>
        <color rgb="FFF8696B"/>
        <color rgb="FFFFEB84"/>
        <color rgb="FF63BE7B"/>
      </colorScale>
    </cfRule>
  </conditionalFormatting>
  <conditionalFormatting sqref="C54:E57">
    <cfRule type="colorScale" priority="23">
      <colorScale>
        <cfvo type="num" val="0"/>
        <cfvo type="num" val="1.5"/>
        <cfvo type="num" val="3"/>
        <color rgb="FFF8696B"/>
        <color rgb="FFFFEB84"/>
        <color rgb="FF63BE7B"/>
      </colorScale>
    </cfRule>
  </conditionalFormatting>
  <pageMargins left="0.7" right="0.7" top="0.75" bottom="0.75" header="0.3" footer="0.3"/>
  <pageSetup scale="65" fitToHeight="3" orientation="portrait" horizontalDpi="0" verticalDpi="0"/>
  <rowBreaks count="2" manualBreakCount="2">
    <brk id="20" max="6" man="1"/>
    <brk id="39" max="6"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73ECA-F014-C647-B16F-EA5A6AC1E8C3}">
  <sheetPr codeName="Sheet9"/>
  <dimension ref="A1:H7"/>
  <sheetViews>
    <sheetView workbookViewId="0">
      <selection activeCell="G7" sqref="G7"/>
    </sheetView>
  </sheetViews>
  <sheetFormatPr baseColWidth="10" defaultRowHeight="16"/>
  <cols>
    <col min="1" max="1" width="43.83203125" bestFit="1" customWidth="1"/>
  </cols>
  <sheetData>
    <row r="1" spans="1:8">
      <c r="B1" t="s">
        <v>25</v>
      </c>
      <c r="C1" t="s">
        <v>26</v>
      </c>
      <c r="D1" t="s">
        <v>27</v>
      </c>
      <c r="E1" t="s">
        <v>28</v>
      </c>
      <c r="F1" t="s">
        <v>29</v>
      </c>
      <c r="G1" t="s">
        <v>30</v>
      </c>
      <c r="H1" t="s">
        <v>31</v>
      </c>
    </row>
    <row r="2" spans="1:8">
      <c r="A2" t="s">
        <v>2</v>
      </c>
      <c r="B2" t="str">
        <f>IFERROR(AVERAGEIFS('Self-Assessment'!D$26:D$316,'Self-Assessment'!H$26:H$316,1,'Self-Assessment'!N$26:N$316,1),"")</f>
        <v/>
      </c>
      <c r="C2" t="str">
        <f>IFERROR(AVERAGEIFS('Self-Assessment'!D$26:D$316,'Self-Assessment'!H$26:H$316,1,'Self-Assessment'!O$26:O$316,1),"")</f>
        <v/>
      </c>
      <c r="D2" t="str">
        <f>IFERROR(AVERAGEIFS('Self-Assessment'!D$26:D$316,'Self-Assessment'!H$26:H$316,1,'Self-Assessment'!P$26:P$316,1),"")</f>
        <v/>
      </c>
      <c r="E2" t="str">
        <f>IFERROR(AVERAGEIFS('Self-Assessment'!D$26:D$316,'Self-Assessment'!H$26:H$316,1,'Self-Assessment'!Q$26:Q$316,1),"")</f>
        <v/>
      </c>
      <c r="F2" t="str">
        <f>IFERROR(AVERAGEIFS('Self-Assessment'!D$26:D$316,'Self-Assessment'!H$26:H$316,1,'Self-Assessment'!R$26:R$316,1),"")</f>
        <v/>
      </c>
      <c r="G2" t="str">
        <f>IFERROR(AVERAGEIFS('Self-Assessment'!D$26:D$316,'Self-Assessment'!H$26:H$316,1,'Self-Assessment'!S$26:S$316,1),"")</f>
        <v/>
      </c>
      <c r="H2" t="str">
        <f>IFERROR(AVERAGEIFS('Self-Assessment'!D$26:D$316,'Self-Assessment'!H$26:H$316,1,'Self-Assessment'!T$26:T$316,1),"")</f>
        <v/>
      </c>
    </row>
    <row r="3" spans="1:8">
      <c r="A3" t="s">
        <v>3</v>
      </c>
      <c r="B3" t="str">
        <f>IFERROR(AVERAGEIFS('Self-Assessment'!D$26:D$316,'Self-Assessment'!I$26:I$316,1,'Self-Assessment'!N$26:N$316,1),"")</f>
        <v/>
      </c>
      <c r="C3" t="str">
        <f>IFERROR(AVERAGEIFS('Self-Assessment'!D$26:D$316,'Self-Assessment'!I$26:I$316,1,'Self-Assessment'!O$26:O$316,1),"")</f>
        <v/>
      </c>
      <c r="D3" t="str">
        <f>IFERROR(AVERAGEIFS('Self-Assessment'!D$26:D$316,'Self-Assessment'!I$26:I$316,1,'Self-Assessment'!P$26:P$316,1),"")</f>
        <v/>
      </c>
      <c r="E3" t="str">
        <f>IFERROR(AVERAGEIFS('Self-Assessment'!D$26:D$316,'Self-Assessment'!I$26:I$316,1,'Self-Assessment'!Q$26:Q$316,1),"")</f>
        <v/>
      </c>
      <c r="F3" t="str">
        <f>IFERROR(AVERAGEIFS('Self-Assessment'!D$26:D$316,'Self-Assessment'!I$26:I$316,1,'Self-Assessment'!R$26:R$316,1),"")</f>
        <v/>
      </c>
      <c r="G3" t="str">
        <f>IFERROR(AVERAGEIFS('Self-Assessment'!D$26:D$316,'Self-Assessment'!I$26:I$316,1,'Self-Assessment'!S$26:S$316,1),"")</f>
        <v/>
      </c>
      <c r="H3" t="str">
        <f>IFERROR(AVERAGEIFS('Self-Assessment'!D$26:D$316,'Self-Assessment'!I$26:I$316,1,'Self-Assessment'!T$26:T$316,1),"")</f>
        <v/>
      </c>
    </row>
    <row r="4" spans="1:8">
      <c r="A4" t="s">
        <v>4</v>
      </c>
      <c r="B4" t="str">
        <f>IFERROR(AVERAGEIFS('Self-Assessment'!D$26:D$316,'Self-Assessment'!J$26:J$316,1,'Self-Assessment'!N$26:N$316,1),"")</f>
        <v/>
      </c>
      <c r="C4" t="str">
        <f>IFERROR(AVERAGEIFS('Self-Assessment'!D$26:D$316,'Self-Assessment'!J$26:J$316,1,'Self-Assessment'!O$26:O$316,1),"")</f>
        <v/>
      </c>
      <c r="D4" t="str">
        <f>IFERROR(AVERAGEIFS('Self-Assessment'!D$26:D$316,'Self-Assessment'!J$26:J$316,1,'Self-Assessment'!P$26:P$316,1),"")</f>
        <v/>
      </c>
      <c r="E4" t="str">
        <f>IFERROR(AVERAGEIFS('Self-Assessment'!D$26:D$316,'Self-Assessment'!J$26:J$316,1,'Self-Assessment'!Q$26:Q$316,1),"")</f>
        <v/>
      </c>
      <c r="F4" t="str">
        <f>IFERROR(AVERAGEIFS('Self-Assessment'!D$26:D$316,'Self-Assessment'!J$26:J$316,1,'Self-Assessment'!R$26:R$316,1),"")</f>
        <v/>
      </c>
      <c r="G4" t="str">
        <f>IFERROR(AVERAGEIFS('Self-Assessment'!D$26:D$316,'Self-Assessment'!J$26:J$316,1,'Self-Assessment'!S$26:S$316,1),"")</f>
        <v/>
      </c>
      <c r="H4" t="str">
        <f>IFERROR(AVERAGEIFS('Self-Assessment'!D$26:D$316,'Self-Assessment'!J$26:J$316,1,'Self-Assessment'!T$26:T$316,1),"")</f>
        <v/>
      </c>
    </row>
    <row r="5" spans="1:8">
      <c r="A5" t="s">
        <v>56</v>
      </c>
      <c r="B5" t="str">
        <f>IFERROR(AVERAGEIFS('Self-Assessment'!D$26:D$316,'Self-Assessment'!K$26:K$316,1,'Self-Assessment'!N$26:N$316,1),"")</f>
        <v/>
      </c>
      <c r="C5" t="str">
        <f>IFERROR(AVERAGEIFS('Self-Assessment'!D$26:D$316,'Self-Assessment'!K$26:K$316,1,'Self-Assessment'!O$26:O$316,1),"")</f>
        <v/>
      </c>
      <c r="D5" t="str">
        <f>IFERROR(AVERAGEIFS('Self-Assessment'!D$26:D$316,'Self-Assessment'!K$26:K$316,1,'Self-Assessment'!P$26:P$316,1),"")</f>
        <v/>
      </c>
      <c r="E5" t="str">
        <f>IFERROR(AVERAGEIFS('Self-Assessment'!D$26:D$316,'Self-Assessment'!K$26:K$316,1,'Self-Assessment'!Q$26:Q$316,1),"")</f>
        <v/>
      </c>
      <c r="F5" t="str">
        <f>IFERROR(AVERAGEIFS('Self-Assessment'!D$26:D$316,'Self-Assessment'!K$26:K$316,1,'Self-Assessment'!R$26:R$316,1),"")</f>
        <v/>
      </c>
      <c r="G5" t="str">
        <f>IFERROR(AVERAGEIFS('Self-Assessment'!D$26:D$316,'Self-Assessment'!K$26:K$316,1,'Self-Assessment'!S$26:S$316,1),"")</f>
        <v/>
      </c>
      <c r="H5" t="str">
        <f>IFERROR(AVERAGEIFS('Self-Assessment'!D$26:D$316,'Self-Assessment'!K$26:K$316,1,'Self-Assessment'!T$26:T$316,1),"")</f>
        <v/>
      </c>
    </row>
    <row r="6" spans="1:8">
      <c r="A6" t="s">
        <v>5</v>
      </c>
      <c r="B6" t="str">
        <f>IFERROR(AVERAGEIFS('Self-Assessment'!D$26:D$316,'Self-Assessment'!L$26:L$316,1,'Self-Assessment'!N$26:N$316,1),"")</f>
        <v/>
      </c>
      <c r="C6" t="str">
        <f>IFERROR(AVERAGEIFS('Self-Assessment'!D$26:D$316,'Self-Assessment'!L$26:L$316,1,'Self-Assessment'!O$26:O$316,1),"")</f>
        <v/>
      </c>
      <c r="D6" t="str">
        <f>IFERROR(AVERAGEIFS('Self-Assessment'!D$26:D$316,'Self-Assessment'!L$26:L$316,1,'Self-Assessment'!P$26:P$316,1),"")</f>
        <v/>
      </c>
      <c r="E6" t="str">
        <f>IFERROR(AVERAGEIFS('Self-Assessment'!D$26:D$316,'Self-Assessment'!L$26:L$316,1,'Self-Assessment'!Q$26:Q$316,1),"")</f>
        <v/>
      </c>
      <c r="F6" t="str">
        <f>IFERROR(AVERAGEIFS('Self-Assessment'!D$26:D$316,'Self-Assessment'!L$26:L$316,1,'Self-Assessment'!R$26:R$316,1),"")</f>
        <v/>
      </c>
      <c r="G6" t="str">
        <f>IFERROR(AVERAGEIFS('Self-Assessment'!D$26:D$316,'Self-Assessment'!L$26:L$316,1,'Self-Assessment'!S$26:S$316,1),"")</f>
        <v/>
      </c>
      <c r="H6" t="str">
        <f>IFERROR(AVERAGEIFS('Self-Assessment'!D$26:D$316,'Self-Assessment'!L$26:L$316,1,'Self-Assessment'!T$26:T$316,1),"")</f>
        <v/>
      </c>
    </row>
    <row r="7" spans="1:8">
      <c r="A7" t="s">
        <v>6</v>
      </c>
      <c r="B7" t="str">
        <f>IFERROR(AVERAGEIFS('Self-Assessment'!D$26:D$316,'Self-Assessment'!M$26:M$316,1,'Self-Assessment'!N$26:N$316,1),"")</f>
        <v/>
      </c>
      <c r="C7" t="str">
        <f>IFERROR(AVERAGEIFS('Self-Assessment'!D$26:D$316,'Self-Assessment'!M$26:M$316,1,'Self-Assessment'!O$26:O$316,1),"")</f>
        <v/>
      </c>
      <c r="D7" t="str">
        <f>IFERROR(AVERAGEIFS('Self-Assessment'!D$26:D$316,'Self-Assessment'!M$26:M$316,1,'Self-Assessment'!P$26:P$316,1),"")</f>
        <v/>
      </c>
      <c r="E7" t="str">
        <f>IFERROR(AVERAGEIFS('Self-Assessment'!D$26:D$316,'Self-Assessment'!M$26:M$316,1,'Self-Assessment'!Q$26:Q$316,1),"")</f>
        <v/>
      </c>
      <c r="F7" t="str">
        <f>IFERROR(AVERAGEIFS('Self-Assessment'!D$26:D$316,'Self-Assessment'!M$26:M$316,1,'Self-Assessment'!R$26:R$316,1),"")</f>
        <v/>
      </c>
      <c r="G7" t="str">
        <f>IFERROR(AVERAGEIFS('Self-Assessment'!D$26:D$316,'Self-Assessment'!M$26:M$316,1,'Self-Assessment'!S$26:S$316,1),"")</f>
        <v/>
      </c>
      <c r="H7" t="str">
        <f>IFERROR(AVERAGEIFS('Self-Assessment'!D$26:D$316,'Self-Assessment'!M$26:M$316,1,'Self-Assessment'!T$26:T$316,1),"")</f>
        <v/>
      </c>
    </row>
  </sheetData>
  <sheetProtection sheet="1" objects="1" scenarios="1"/>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6</vt:i4>
      </vt:variant>
    </vt:vector>
  </HeadingPairs>
  <TitlesOfParts>
    <vt:vector size="15" baseType="lpstr">
      <vt:lpstr>Before you start</vt:lpstr>
      <vt:lpstr>Self-Assessment</vt:lpstr>
      <vt:lpstr>Scoring</vt:lpstr>
      <vt:lpstr>Recommendations</vt:lpstr>
      <vt:lpstr>Definitions</vt:lpstr>
      <vt:lpstr>c40_cities</vt:lpstr>
      <vt:lpstr>org_detail</vt:lpstr>
      <vt:lpstr>QCount</vt:lpstr>
      <vt:lpstr>scoring_table</vt:lpstr>
      <vt:lpstr>'Before you start'!Print_Area</vt:lpstr>
      <vt:lpstr>Definitions!Print_Area</vt:lpstr>
      <vt:lpstr>QCount!Print_Area</vt:lpstr>
      <vt:lpstr>Recommendations!Print_Area</vt:lpstr>
      <vt:lpstr>Scoring!Print_Area</vt:lpstr>
      <vt:lpstr>'Self-Assessment'!Print_Area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Mork</dc:creator>
  <cp:lastModifiedBy>Daniel Mork</cp:lastModifiedBy>
  <cp:lastPrinted>2026-03-06T22:50:53Z</cp:lastPrinted>
  <dcterms:created xsi:type="dcterms:W3CDTF">2025-11-07T02:27:55Z</dcterms:created>
  <dcterms:modified xsi:type="dcterms:W3CDTF">2026-03-06T22:51:16Z</dcterms:modified>
</cp:coreProperties>
</file>