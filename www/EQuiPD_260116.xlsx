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dmork/Documents/GitHub/C40_EQuiPD/www/"/>
    </mc:Choice>
  </mc:AlternateContent>
  <xr:revisionPtr revIDLastSave="0" documentId="13_ncr:1_{7B2CD5A2-BD57-F141-A7DC-AF0901281EE2}" xr6:coauthVersionLast="47" xr6:coauthVersionMax="47" xr10:uidLastSave="{00000000-0000-0000-0000-000000000000}"/>
  <bookViews>
    <workbookView xWindow="400" yWindow="760" windowWidth="28040" windowHeight="17880" xr2:uid="{30BB5428-C633-D247-A3EC-BE7DB74FA751}"/>
  </bookViews>
  <sheets>
    <sheet name="Self-Assessment" sheetId="1" r:id="rId1"/>
    <sheet name="Scoring" sheetId="2" r:id="rId2"/>
    <sheet name="Recommendations" sheetId="9" r:id="rId3"/>
    <sheet name="Definitions" sheetId="4" r:id="rId4"/>
    <sheet name="c40_cities" sheetId="6" r:id="rId5"/>
    <sheet name="org_detail" sheetId="5" r:id="rId6"/>
    <sheet name="QCount" sheetId="7" r:id="rId7"/>
    <sheet name="scoring_table" sheetId="8" r:id="rId8"/>
  </sheets>
  <definedNames>
    <definedName name="_xlnm._FilterDatabase" localSheetId="4" hidden="1">'c40_cities'!$A$1:$C$1</definedName>
    <definedName name="_xlnm._FilterDatabase" localSheetId="6" hidden="1">QCount!$C$54:$E$57</definedName>
    <definedName name="_xlnm._FilterDatabase" localSheetId="2" hidden="1">Recommendations!$B$7:$T$95</definedName>
    <definedName name="_xlnm._FilterDatabase" localSheetId="1" hidden="1">Scoring!$C$70:$E$73</definedName>
    <definedName name="_xlnm.Print_Area" localSheetId="3">Definitions!$A:$E</definedName>
    <definedName name="_xlnm.Print_Area" localSheetId="6">QCount!$A:$F</definedName>
    <definedName name="_xlnm.Print_Area" localSheetId="2">Recommendations!$A:$G</definedName>
    <definedName name="_xlnm.Print_Area" localSheetId="1">Scoring!$A:$G</definedName>
    <definedName name="_xlnm.Print_Area" localSheetId="0">'Self-Assessment'!$A:$G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9" l="1"/>
  <c r="B53" i="2"/>
  <c r="B30" i="2"/>
  <c r="B7" i="2"/>
  <c r="B5" i="2"/>
  <c r="D95" i="9" l="1"/>
  <c r="D94" i="9"/>
  <c r="D93" i="9"/>
  <c r="D92" i="9"/>
  <c r="D91" i="9"/>
  <c r="D90" i="9"/>
  <c r="D89" i="9"/>
  <c r="D88" i="9"/>
  <c r="D87" i="9"/>
  <c r="D86" i="9"/>
  <c r="D85" i="9"/>
  <c r="D84" i="9"/>
  <c r="D81" i="9"/>
  <c r="D80" i="9"/>
  <c r="D79" i="9"/>
  <c r="D78" i="9"/>
  <c r="D77" i="9"/>
  <c r="D76" i="9"/>
  <c r="D75" i="9"/>
  <c r="D74" i="9"/>
  <c r="D73" i="9"/>
  <c r="D72" i="9"/>
  <c r="D71" i="9"/>
  <c r="D70" i="9"/>
  <c r="D69" i="9"/>
  <c r="D68" i="9"/>
  <c r="D67" i="9"/>
  <c r="D66" i="9"/>
  <c r="D65" i="9"/>
  <c r="D64" i="9"/>
  <c r="D63" i="9"/>
  <c r="D60" i="9"/>
  <c r="D59" i="9"/>
  <c r="D58" i="9"/>
  <c r="D57" i="9"/>
  <c r="D56" i="9"/>
  <c r="D55" i="9"/>
  <c r="D54" i="9"/>
  <c r="D53" i="9"/>
  <c r="D52" i="9"/>
  <c r="D49" i="9"/>
  <c r="D48" i="9"/>
  <c r="D47" i="9"/>
  <c r="D46" i="9"/>
  <c r="D45" i="9"/>
  <c r="D44" i="9"/>
  <c r="D43" i="9"/>
  <c r="D42" i="9"/>
  <c r="D41" i="9"/>
  <c r="D40" i="9"/>
  <c r="D39" i="9"/>
  <c r="D38" i="9"/>
  <c r="D37" i="9"/>
  <c r="D36" i="9"/>
  <c r="D35" i="9"/>
  <c r="D32" i="9"/>
  <c r="D31" i="9"/>
  <c r="D30" i="9"/>
  <c r="D29" i="9"/>
  <c r="D28" i="9"/>
  <c r="D27" i="9"/>
  <c r="D26" i="9"/>
  <c r="D25" i="9"/>
  <c r="D24" i="9"/>
  <c r="D23" i="9"/>
  <c r="D22" i="9"/>
  <c r="D21" i="9"/>
  <c r="D20" i="9"/>
  <c r="D19" i="9"/>
  <c r="D18" i="9"/>
  <c r="D17" i="9"/>
  <c r="D16" i="9"/>
  <c r="D15" i="9"/>
  <c r="D14" i="9"/>
  <c r="D13" i="9"/>
  <c r="D12" i="9"/>
  <c r="D11" i="9"/>
  <c r="D10" i="9"/>
  <c r="D9" i="9"/>
  <c r="D8" i="9"/>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4" i="9" s="1"/>
  <c r="B35" i="9" s="1"/>
  <c r="B36" i="9" s="1"/>
  <c r="B37" i="9" s="1"/>
  <c r="B38" i="9" s="1"/>
  <c r="B39" i="9" s="1"/>
  <c r="B40" i="9" s="1"/>
  <c r="B41" i="9" s="1"/>
  <c r="B42" i="9" s="1"/>
  <c r="B43" i="9" s="1"/>
  <c r="B44" i="9" s="1"/>
  <c r="B45" i="9" s="1"/>
  <c r="B46" i="9" s="1"/>
  <c r="B47" i="9" s="1"/>
  <c r="B48" i="9" s="1"/>
  <c r="B49" i="9" s="1"/>
  <c r="B51" i="9" s="1"/>
  <c r="B52" i="9" s="1"/>
  <c r="B53" i="9" s="1"/>
  <c r="B54" i="9" s="1"/>
  <c r="B55" i="9" s="1"/>
  <c r="B56" i="9" s="1"/>
  <c r="B57" i="9" s="1"/>
  <c r="B58" i="9" s="1"/>
  <c r="B59" i="9" s="1"/>
  <c r="B60" i="9" s="1"/>
  <c r="B62" i="9" s="1"/>
  <c r="B63" i="9" s="1"/>
  <c r="B64" i="9" s="1"/>
  <c r="B65" i="9" s="1"/>
  <c r="B66" i="9" s="1"/>
  <c r="B67" i="9" s="1"/>
  <c r="B68" i="9" s="1"/>
  <c r="B69" i="9" s="1"/>
  <c r="B70" i="9" s="1"/>
  <c r="B71" i="9" s="1"/>
  <c r="B72" i="9" s="1"/>
  <c r="B73" i="9" s="1"/>
  <c r="B74" i="9" s="1"/>
  <c r="B75" i="9" s="1"/>
  <c r="B76" i="9" s="1"/>
  <c r="B77" i="9" s="1"/>
  <c r="B78" i="9" s="1"/>
  <c r="B79" i="9" s="1"/>
  <c r="B80" i="9" s="1"/>
  <c r="B81" i="9" s="1"/>
  <c r="B83" i="9" s="1"/>
  <c r="B84" i="9" s="1"/>
  <c r="B85" i="9" s="1"/>
  <c r="B86" i="9" s="1"/>
  <c r="B87" i="9" s="1"/>
  <c r="B88" i="9" s="1"/>
  <c r="B89" i="9" s="1"/>
  <c r="B90" i="9" s="1"/>
  <c r="B91" i="9" s="1"/>
  <c r="B92" i="9" s="1"/>
  <c r="B93" i="9" s="1"/>
  <c r="B94" i="9" s="1"/>
  <c r="B95" i="9" s="1"/>
  <c r="H7" i="8"/>
  <c r="G7" i="8"/>
  <c r="F7" i="8"/>
  <c r="H6" i="8"/>
  <c r="G6" i="8"/>
  <c r="F6" i="8"/>
  <c r="H5" i="8"/>
  <c r="G5" i="8"/>
  <c r="F5" i="8"/>
  <c r="H4" i="8"/>
  <c r="G4" i="8"/>
  <c r="F4" i="8"/>
  <c r="H3" i="8"/>
  <c r="G3" i="8"/>
  <c r="F3" i="8"/>
  <c r="H2" i="8"/>
  <c r="G2" i="8"/>
  <c r="F2" i="8"/>
  <c r="E7" i="8"/>
  <c r="D7" i="8"/>
  <c r="C7" i="8"/>
  <c r="B7" i="8"/>
  <c r="E6" i="8"/>
  <c r="D6" i="8"/>
  <c r="C6" i="8"/>
  <c r="B6" i="8"/>
  <c r="E5" i="8"/>
  <c r="D5" i="8"/>
  <c r="C5" i="8"/>
  <c r="B5" i="8"/>
  <c r="E4" i="8"/>
  <c r="D4" i="8"/>
  <c r="C4" i="8"/>
  <c r="B4" i="8"/>
  <c r="E3" i="8"/>
  <c r="D3" i="8"/>
  <c r="C3" i="8"/>
  <c r="B3" i="8"/>
  <c r="F74" i="2"/>
  <c r="E74" i="2"/>
  <c r="D74" i="2"/>
  <c r="C74" i="2"/>
  <c r="F73" i="2"/>
  <c r="E73" i="2"/>
  <c r="D73" i="2"/>
  <c r="C73" i="2"/>
  <c r="F72" i="2"/>
  <c r="E72" i="2"/>
  <c r="D72" i="2"/>
  <c r="C72" i="2"/>
  <c r="F71" i="2"/>
  <c r="E71" i="2"/>
  <c r="D71" i="2"/>
  <c r="C71" i="2"/>
  <c r="F70" i="2"/>
  <c r="E70" i="2"/>
  <c r="D70" i="2"/>
  <c r="C70" i="2"/>
  <c r="F63" i="2"/>
  <c r="E63" i="2"/>
  <c r="D63" i="2"/>
  <c r="C63" i="2"/>
  <c r="F62" i="2"/>
  <c r="E62" i="2"/>
  <c r="D62" i="2"/>
  <c r="C62" i="2"/>
  <c r="F61" i="2"/>
  <c r="E61" i="2"/>
  <c r="D61" i="2"/>
  <c r="C61" i="2"/>
  <c r="F60" i="2"/>
  <c r="E60" i="2"/>
  <c r="D60" i="2"/>
  <c r="C60" i="2"/>
  <c r="F59" i="2"/>
  <c r="E59" i="2"/>
  <c r="D59" i="2"/>
  <c r="C59" i="2"/>
  <c r="F51" i="2"/>
  <c r="E51" i="2"/>
  <c r="D51" i="2"/>
  <c r="C51" i="2"/>
  <c r="F50" i="2"/>
  <c r="E50" i="2"/>
  <c r="D50" i="2"/>
  <c r="C50" i="2"/>
  <c r="F49" i="2"/>
  <c r="E49" i="2"/>
  <c r="D49" i="2"/>
  <c r="C49" i="2"/>
  <c r="F48" i="2"/>
  <c r="E48" i="2"/>
  <c r="D48" i="2"/>
  <c r="C48" i="2"/>
  <c r="F47" i="2"/>
  <c r="E47" i="2"/>
  <c r="D47" i="2"/>
  <c r="C47" i="2"/>
  <c r="F40" i="2"/>
  <c r="E40" i="2"/>
  <c r="D40" i="2"/>
  <c r="C40" i="2"/>
  <c r="F39" i="2"/>
  <c r="E39" i="2"/>
  <c r="D39" i="2"/>
  <c r="C39" i="2"/>
  <c r="F38" i="2"/>
  <c r="E38" i="2"/>
  <c r="D38" i="2"/>
  <c r="C38" i="2"/>
  <c r="F37" i="2"/>
  <c r="E37" i="2"/>
  <c r="D37" i="2"/>
  <c r="C37" i="2"/>
  <c r="F36" i="2"/>
  <c r="E36" i="2"/>
  <c r="D36" i="2"/>
  <c r="C36" i="2"/>
  <c r="F28" i="2"/>
  <c r="E28" i="2"/>
  <c r="D28" i="2"/>
  <c r="C28" i="2"/>
  <c r="F27" i="2"/>
  <c r="E27" i="2"/>
  <c r="D27" i="2"/>
  <c r="C27" i="2"/>
  <c r="F26" i="2"/>
  <c r="E26" i="2"/>
  <c r="D26" i="2"/>
  <c r="C26" i="2"/>
  <c r="F25" i="2"/>
  <c r="E25" i="2"/>
  <c r="D25" i="2"/>
  <c r="C25" i="2"/>
  <c r="F24" i="2"/>
  <c r="E24" i="2"/>
  <c r="D24" i="2"/>
  <c r="C24" i="2"/>
  <c r="E2" i="8"/>
  <c r="D2" i="8"/>
  <c r="C2" i="8"/>
  <c r="B2" i="8"/>
  <c r="F16" i="2"/>
  <c r="F17" i="2"/>
  <c r="E17" i="2"/>
  <c r="E16" i="2"/>
  <c r="D17" i="2"/>
  <c r="C17" i="2"/>
  <c r="F15" i="2"/>
  <c r="E15" i="2"/>
  <c r="F14" i="2"/>
  <c r="F13" i="2"/>
  <c r="B30" i="1"/>
  <c r="B31" i="1" s="1"/>
  <c r="B32" i="1" s="1"/>
  <c r="B33" i="1" s="1"/>
  <c r="B34" i="1" s="1"/>
  <c r="B35" i="1" s="1"/>
  <c r="B36" i="1" s="1"/>
  <c r="B37" i="1" s="1"/>
  <c r="B38" i="1" s="1"/>
  <c r="B39" i="1" s="1"/>
  <c r="B40" i="1" s="1"/>
  <c r="B41" i="1" s="1"/>
  <c r="B42" i="1" s="1"/>
  <c r="B43" i="1" s="1"/>
  <c r="B44" i="1" s="1"/>
  <c r="B45" i="1" s="1"/>
  <c r="B46" i="1" s="1"/>
  <c r="B47" i="1" s="1"/>
  <c r="B48" i="1" s="1"/>
  <c r="B49" i="1" s="1"/>
  <c r="B50" i="1" s="1"/>
  <c r="B51" i="1" s="1"/>
  <c r="B52" i="1" s="1"/>
  <c r="B53" i="1" s="1"/>
  <c r="B54" i="1" s="1"/>
  <c r="B56" i="1" s="1"/>
  <c r="E57" i="7"/>
  <c r="D57" i="7"/>
  <c r="C57" i="7"/>
  <c r="E56" i="7"/>
  <c r="D56" i="7"/>
  <c r="C56" i="7"/>
  <c r="E55" i="7"/>
  <c r="D55" i="7"/>
  <c r="C55" i="7"/>
  <c r="E54" i="7"/>
  <c r="D54" i="7"/>
  <c r="C54" i="7"/>
  <c r="E48" i="7"/>
  <c r="D48" i="7"/>
  <c r="C48" i="7"/>
  <c r="E47" i="7"/>
  <c r="D47" i="7"/>
  <c r="C47" i="7"/>
  <c r="E46" i="7"/>
  <c r="D46" i="7"/>
  <c r="C46" i="7"/>
  <c r="E45" i="7"/>
  <c r="D45" i="7"/>
  <c r="C45" i="7"/>
  <c r="E38" i="7"/>
  <c r="D38" i="7"/>
  <c r="C38" i="7"/>
  <c r="E37" i="7"/>
  <c r="D37" i="7"/>
  <c r="C37" i="7"/>
  <c r="E36" i="7"/>
  <c r="D36" i="7"/>
  <c r="C36" i="7"/>
  <c r="E35" i="7"/>
  <c r="D35" i="7"/>
  <c r="C35" i="7"/>
  <c r="E29" i="7"/>
  <c r="D29" i="7"/>
  <c r="C29" i="7"/>
  <c r="E28" i="7"/>
  <c r="D28" i="7"/>
  <c r="C28" i="7"/>
  <c r="E27" i="7"/>
  <c r="D27" i="7"/>
  <c r="C27" i="7"/>
  <c r="E26" i="7"/>
  <c r="D26" i="7"/>
  <c r="C26" i="7"/>
  <c r="E20" i="7"/>
  <c r="D20" i="7"/>
  <c r="C20" i="7"/>
  <c r="E19" i="7"/>
  <c r="D19" i="7"/>
  <c r="C19" i="7"/>
  <c r="E18" i="7"/>
  <c r="D18" i="7"/>
  <c r="C18" i="7"/>
  <c r="E17" i="7"/>
  <c r="D17" i="7"/>
  <c r="C17" i="7"/>
  <c r="E11" i="7"/>
  <c r="D11" i="7"/>
  <c r="C11" i="7"/>
  <c r="E10" i="7"/>
  <c r="D10" i="7"/>
  <c r="C10" i="7"/>
  <c r="E9" i="7"/>
  <c r="D9" i="7"/>
  <c r="C9" i="7"/>
  <c r="E8" i="7"/>
  <c r="D8" i="7"/>
  <c r="C8" i="7"/>
  <c r="C13" i="2"/>
  <c r="C14" i="2"/>
  <c r="C3"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2" i="6"/>
  <c r="D16" i="2"/>
  <c r="C16" i="2"/>
  <c r="D15" i="2"/>
  <c r="C15" i="2"/>
  <c r="E14" i="2"/>
  <c r="D14" i="2"/>
  <c r="E13" i="2"/>
  <c r="D13" i="2"/>
  <c r="B57" i="1" l="1"/>
  <c r="B58" i="1" s="1"/>
  <c r="B59" i="1" s="1"/>
  <c r="B60" i="1" s="1"/>
  <c r="B61" i="1" s="1"/>
  <c r="B62" i="1" s="1"/>
  <c r="B63" i="1" s="1"/>
  <c r="B64" i="1" s="1"/>
  <c r="B65" i="1" s="1"/>
  <c r="B66" i="1" s="1"/>
  <c r="B67" i="1" s="1"/>
  <c r="B68" i="1" s="1"/>
  <c r="B69" i="1" s="1"/>
  <c r="B70" i="1" s="1"/>
  <c r="B71" i="1" s="1"/>
  <c r="B73" i="1" s="1"/>
  <c r="B74" i="1" s="1"/>
  <c r="B75" i="1" s="1"/>
  <c r="B76" i="1" s="1"/>
  <c r="B77" i="1" s="1"/>
  <c r="B78" i="1" s="1"/>
  <c r="B79" i="1" s="1"/>
  <c r="B80" i="1" s="1"/>
  <c r="B81" i="1" s="1"/>
  <c r="B82" i="1" s="1"/>
  <c r="B84" i="1" s="1"/>
  <c r="B85" i="1" s="1"/>
  <c r="B86" i="1" s="1"/>
  <c r="B87" i="1" s="1"/>
  <c r="B88" i="1" s="1"/>
  <c r="B89" i="1" s="1"/>
  <c r="B90" i="1" s="1"/>
  <c r="B91" i="1" s="1"/>
  <c r="B92" i="1" s="1"/>
  <c r="B93" i="1" s="1"/>
  <c r="B94" i="1" s="1"/>
  <c r="B95" i="1" s="1"/>
  <c r="B96" i="1" s="1"/>
  <c r="B97" i="1" s="1"/>
  <c r="B98" i="1" s="1"/>
  <c r="B99" i="1" s="1"/>
  <c r="B100" i="1" s="1"/>
  <c r="B101" i="1" s="1"/>
  <c r="B102" i="1" s="1"/>
  <c r="B103" i="1" s="1"/>
  <c r="B105" i="1" s="1"/>
  <c r="B106" i="1" s="1"/>
  <c r="B107" i="1" s="1"/>
  <c r="B108" i="1" s="1"/>
  <c r="B109" i="1" s="1"/>
  <c r="B110" i="1" s="1"/>
  <c r="B111" i="1" s="1"/>
  <c r="B112" i="1" s="1"/>
  <c r="B113" i="1" s="1"/>
  <c r="B114" i="1" s="1"/>
  <c r="B115" i="1" s="1"/>
  <c r="B116" i="1" s="1"/>
  <c r="B117" i="1" s="1"/>
</calcChain>
</file>

<file path=xl/sharedStrings.xml><?xml version="1.0" encoding="utf-8"?>
<sst xmlns="http://schemas.openxmlformats.org/spreadsheetml/2006/main" count="869" uniqueCount="426">
  <si>
    <t>EQuiPD</t>
  </si>
  <si>
    <t>EQuiPD: Equity in Air Quality 
Policy &amp; Data Ecosystem</t>
  </si>
  <si>
    <t>Overview</t>
  </si>
  <si>
    <t>Self-Assessment Tool</t>
  </si>
  <si>
    <t>How to use the self-assessment tool</t>
  </si>
  <si>
    <t>Data-sharing partnerships &amp; management tools</t>
  </si>
  <si>
    <t>City/institutional buy-in, capacity building &amp; training</t>
  </si>
  <si>
    <t>Public support &amp; engagement</t>
  </si>
  <si>
    <t>Estimating air pollution</t>
  </si>
  <si>
    <t>Source &amp; emission inventories</t>
  </si>
  <si>
    <r>
      <rPr>
        <b/>
        <i/>
        <sz val="11"/>
        <color theme="1"/>
        <rFont val="Figtree"/>
      </rPr>
      <t>0</t>
    </r>
    <r>
      <rPr>
        <i/>
        <sz val="11"/>
        <color theme="1"/>
        <rFont val="Figtree"/>
      </rPr>
      <t xml:space="preserve">     No implementation or unknown.</t>
    </r>
  </si>
  <si>
    <r>
      <rPr>
        <b/>
        <i/>
        <sz val="11"/>
        <color theme="1"/>
        <rFont val="Figtree"/>
      </rPr>
      <t>1</t>
    </r>
    <r>
      <rPr>
        <i/>
        <sz val="11"/>
        <color theme="1"/>
        <rFont val="Figtree"/>
      </rPr>
      <t xml:space="preserve">     Limited implementation. Pilot work is underway related to some aspects of this question, but it is not sustainable or will not provide long-term actionable insights.</t>
    </r>
  </si>
  <si>
    <r>
      <rPr>
        <b/>
        <i/>
        <sz val="11"/>
        <color theme="1"/>
        <rFont val="Figtree"/>
      </rPr>
      <t>2</t>
    </r>
    <r>
      <rPr>
        <i/>
        <sz val="11"/>
        <color theme="1"/>
        <rFont val="Figtree"/>
      </rPr>
      <t xml:space="preserve">     Partial implementation. There is operational work related to this question that is ongoing but may be limited in terms of equity integration (e.g., it has not reached marginalized neighborhoods or cannot fully quantify or address potential disparities).</t>
    </r>
  </si>
  <si>
    <t>Self-scoring is necessary as you have the best knowledge of your own city’s capacities. The scoring scale for all questions is described as follows. You may assign fractional scores (e.g., 2.5) if you fall between two scores.</t>
  </si>
  <si>
    <t>Category</t>
  </si>
  <si>
    <t>DS</t>
  </si>
  <si>
    <t>CB</t>
  </si>
  <si>
    <t>PS</t>
  </si>
  <si>
    <t>IM</t>
  </si>
  <si>
    <t>AP</t>
  </si>
  <si>
    <t>SE</t>
  </si>
  <si>
    <t>Categories</t>
  </si>
  <si>
    <t>Domains</t>
  </si>
  <si>
    <t>TC</t>
  </si>
  <si>
    <t>DI</t>
  </si>
  <si>
    <t>IP</t>
  </si>
  <si>
    <t>PE</t>
  </si>
  <si>
    <t>Themes</t>
  </si>
  <si>
    <t>DE</t>
  </si>
  <si>
    <t>SO</t>
  </si>
  <si>
    <t>AI</t>
  </si>
  <si>
    <t>Equity Themes</t>
  </si>
  <si>
    <t>Technical Capacity</t>
  </si>
  <si>
    <t>Data Integration</t>
  </si>
  <si>
    <t>Internal Processes</t>
  </si>
  <si>
    <t>Participation and Empowerment</t>
  </si>
  <si>
    <t>Distributional Equity</t>
  </si>
  <si>
    <t>Socioeconomic Resilience and Opportunity</t>
  </si>
  <si>
    <t>Access and Inclusivity</t>
  </si>
  <si>
    <t>Robust capacity in data collection, analysis, and public transparency is essential for equitable air quality policies. This means systems that detect health and economic disparities, integrate diverse datasets, and map cumulative environmental burdens by community and socioeconomic status. Open access to data, strong local partnerships, and active involvement of marginalized communities in monitoring and decision-making help ensure that interventions are both effective and just. Regular, transparent reporting and evaluation of outcomes are crucial for accountability and ongoing policy improvement.</t>
  </si>
  <si>
    <t>Score (0-3)</t>
  </si>
  <si>
    <t>Building and sustaining robust technical and organizational capacity is vital for equitable air quality policy-making. This involves having political buy-in to channel resources and mandate and accessible tools and trained staff to map, analyze, and communicate air quality gradients,  their health and equity impacts, as well as resources for ongoing public and community training. Budgets and leadership structures must support long-term system upgrades, prioritize high-burden communities, and ensure regular, transparent evaluations—including independent audits and mechanisms for community input. Effective capacity also requires cross-sector coordination, sustained funding, and a commitment to policies that target disparity reduction and reflect the needs and diversity of the most affected populations.</t>
  </si>
  <si>
    <t xml:space="preserve">Ensuring that air quality policy-making addresses  the diverse needs of all communities, especially the most vulnerable is critical to building public support &amp; engagement. This means collecting and sharing data on access to clean air spaces, transportation, and public warnings, while tailoring resources and risk communications in multiple formats and languages. Economic impact assessments and compliance costs should explicitly analyze and address differential burdens, and feedback mechanisms must enable meaningful input from marginalized groups. Accessible and inclusive information about air pollution, impacts from policies and live tracking of changes over team can be game changing when it comes to building public support and addressing backlash. Sustained training, participatory processes, and investments in clean air monitoring infrastructure—combined with regular evaluation of health outcomes, public accountability, and integration of citizen data—ensure that policies are both effective and equitable for populations such as low-income, elderly, Indigenous, and minority residents. </t>
  </si>
  <si>
    <t>Ensuring equitable air quality policy-making demands comprehensive monitoring and modeling systems that achieve high spatial and temporal coverage (especially in historically underserved neighborhoods) and prioritize addressing impacts to vulnerable groups such as children and the elderly. This includes integrating data from diverse sources (e.g., reference monitors, low-cost sensors, models, satellite data, and meteorological stations) into accessible, central repositories and using analytical tools to assess how air quality, health, employment, and energy costs vary across communities. Collaboration among city staff, technical experts, and community partners in siting, operating, and interpreting monitors and models is essential for accurate, quality-assured data that drives action. Making all monitoring and modeling outputs user-friendly and publicly accessible, while linking environmental, health, workforce, and housing data, enables targeted interventions and supports transparency, accountability, and more equitable outcomes.</t>
  </si>
  <si>
    <t>Equitable air quality policy-making requires systematic monitoring and evaluation of emissions, land use, and zoning decisions with a strong focus on communities facing the greatest risks, such as low-income and minority neighborhoods near industrial sites. Maintaining and openly sharing data on point, area, and mobile emission sources—alongside vehicle inspection programs, fenceline monitoring, and accessible records of land use changes—ensures transparency and helps link environmental and economic impacts to public health outcomes. Incorporating input from disproportionately exposed groups, workers, and community organizations into emission assessments, zoning, and policy review enables more just and inclusive decisions. Partnerships across government, industry, and labor, along with accessible platforms for data, green jobs, and retraining opportunities, support ongoing improvements, accountability, and equitable transitions, particularly for those most affected by pollution and economic changes.</t>
  </si>
  <si>
    <t>Equitable air quality policy-making relies on comprehensive, accurate modeling and monitoring systems that explicitly quantify health and economic impacts of particular policies for vulnerable and marginalized groups. This involves ensuring exposure and scenario-based models reflect real-world conditions through collaboration with monitoring networks, validation in data-sparse areas, and integration of fine-scale demographic and economic data. Analyses must be stratified by factors such as income, age, race, and geography, translating results into meaningful, accessible formats (e.g., public dashboards, maps, and plain-language summaries) that inform both policy and community resilience efforts. Ongoing community input, transparent communication of methods and limitations, and regular updates ensure that modeling truly supports fair distribution of benefits and burdens, strengthens preparedness, and provides targeted support to those most affected by air pollution and regulatory changes.</t>
  </si>
  <si>
    <t>Self-Assessment Questions</t>
  </si>
  <si>
    <t>Question</t>
  </si>
  <si>
    <t>Organization</t>
  </si>
  <si>
    <t>Abbreviation</t>
  </si>
  <si>
    <t>Full_Name</t>
  </si>
  <si>
    <t>Domain</t>
  </si>
  <si>
    <t>Equity Theme</t>
  </si>
  <si>
    <t>Health and economic impact modelling</t>
  </si>
  <si>
    <t>Answers</t>
  </si>
  <si>
    <t>Name of person filling out this self-assessment?</t>
  </si>
  <si>
    <t>City</t>
  </si>
  <si>
    <t>Name</t>
  </si>
  <si>
    <t>Share</t>
  </si>
  <si>
    <t>short_q</t>
  </si>
  <si>
    <t>Preliminary</t>
  </si>
  <si>
    <t>Data Collection (Health, Air Quality, Demographics, Socioeconomics)</t>
  </si>
  <si>
    <t>Yes</t>
  </si>
  <si>
    <t>Health &amp; economic impact modelling</t>
  </si>
  <si>
    <t>Country</t>
  </si>
  <si>
    <t>Abidjan</t>
  </si>
  <si>
    <t>Côte d’Ivoire</t>
  </si>
  <si>
    <t>Accra</t>
  </si>
  <si>
    <t>Ghana</t>
  </si>
  <si>
    <t>Addis Ababa</t>
  </si>
  <si>
    <t>Ethiopia</t>
  </si>
  <si>
    <t>Cape Town</t>
  </si>
  <si>
    <t>South Africa</t>
  </si>
  <si>
    <t>Casablanca</t>
  </si>
  <si>
    <t>Morocco</t>
  </si>
  <si>
    <t>Dakar</t>
  </si>
  <si>
    <t>Senegal</t>
  </si>
  <si>
    <t>Dar es Salaam</t>
  </si>
  <si>
    <t>Tanzania</t>
  </si>
  <si>
    <t>Durban (eThekwini)</t>
  </si>
  <si>
    <t>Ekurhuleni</t>
  </si>
  <si>
    <t>Freetown</t>
  </si>
  <si>
    <t>Sierra Leone</t>
  </si>
  <si>
    <t>Johannesburg</t>
  </si>
  <si>
    <t>Lagos</t>
  </si>
  <si>
    <t>Nigeria</t>
  </si>
  <si>
    <t>Nairobi</t>
  </si>
  <si>
    <t>Kenya</t>
  </si>
  <si>
    <t>Tshwane</t>
  </si>
  <si>
    <t>Beijing</t>
  </si>
  <si>
    <t>China</t>
  </si>
  <si>
    <t>Chengdu</t>
  </si>
  <si>
    <t>Dalian</t>
  </si>
  <si>
    <t>Fuzhou</t>
  </si>
  <si>
    <t>Guangzhou</t>
  </si>
  <si>
    <t>Hangzhou</t>
  </si>
  <si>
    <t>Hong Kong</t>
  </si>
  <si>
    <t>Nanjing</t>
  </si>
  <si>
    <t>Qingdao</t>
  </si>
  <si>
    <t>Shanghai</t>
  </si>
  <si>
    <t>Shenzhen</t>
  </si>
  <si>
    <t>Wuhan</t>
  </si>
  <si>
    <t>Zhenjiang</t>
  </si>
  <si>
    <t>Auckland</t>
  </si>
  <si>
    <t>New Zealand</t>
  </si>
  <si>
    <t>Bangkok</t>
  </si>
  <si>
    <t>Thailand</t>
  </si>
  <si>
    <t>Hanoi</t>
  </si>
  <si>
    <t>Vietnam</t>
  </si>
  <si>
    <t>Ho Chi Minh City</t>
  </si>
  <si>
    <t>Jakarta</t>
  </si>
  <si>
    <t>Indonesia</t>
  </si>
  <si>
    <t>Kuala Lumpur</t>
  </si>
  <si>
    <t>Malaysia</t>
  </si>
  <si>
    <t>Melbourne</t>
  </si>
  <si>
    <t>Australia</t>
  </si>
  <si>
    <t>Quezon City</t>
  </si>
  <si>
    <t>The Philippines</t>
  </si>
  <si>
    <t>Seoul</t>
  </si>
  <si>
    <t>Republic of Korea</t>
  </si>
  <si>
    <t>Singapore</t>
  </si>
  <si>
    <t>Sydney</t>
  </si>
  <si>
    <t>Tokyo</t>
  </si>
  <si>
    <t>Japan</t>
  </si>
  <si>
    <t>Yokohama</t>
  </si>
  <si>
    <t>Amsterdam</t>
  </si>
  <si>
    <t>The Netherlands</t>
  </si>
  <si>
    <t>Athens</t>
  </si>
  <si>
    <t>Greece</t>
  </si>
  <si>
    <t>Barcelona</t>
  </si>
  <si>
    <t>Spain</t>
  </si>
  <si>
    <t>Berlin</t>
  </si>
  <si>
    <t>Germany</t>
  </si>
  <si>
    <t>Copenhagen</t>
  </si>
  <si>
    <t>Denmark</t>
  </si>
  <si>
    <t>Heidelberg</t>
  </si>
  <si>
    <t>Istanbul</t>
  </si>
  <si>
    <t>Turkey</t>
  </si>
  <si>
    <t>Lisbon</t>
  </si>
  <si>
    <t>Portugal</t>
  </si>
  <si>
    <t>London</t>
  </si>
  <si>
    <t>United Kingdom</t>
  </si>
  <si>
    <t>Madrid</t>
  </si>
  <si>
    <t>Milan</t>
  </si>
  <si>
    <t>Italy</t>
  </si>
  <si>
    <t>Oslo</t>
  </si>
  <si>
    <t>Norway</t>
  </si>
  <si>
    <t>Paris</t>
  </si>
  <si>
    <t>France</t>
  </si>
  <si>
    <t>Rome</t>
  </si>
  <si>
    <t>Rotterdam</t>
  </si>
  <si>
    <t>Stockholm</t>
  </si>
  <si>
    <t>Sweden</t>
  </si>
  <si>
    <t>Tel Aviv - Yafo</t>
  </si>
  <si>
    <t>Israel</t>
  </si>
  <si>
    <t>Warsaw</t>
  </si>
  <si>
    <t>Poland</t>
  </si>
  <si>
    <t>Bogotá</t>
  </si>
  <si>
    <t>Colombia</t>
  </si>
  <si>
    <t>Buenos Aires</t>
  </si>
  <si>
    <t>Argentina</t>
  </si>
  <si>
    <t>Curitiba</t>
  </si>
  <si>
    <t>Brazil</t>
  </si>
  <si>
    <t>Fortaleza</t>
  </si>
  <si>
    <t>Guadalajara</t>
  </si>
  <si>
    <t>Mexico</t>
  </si>
  <si>
    <t>Lima</t>
  </si>
  <si>
    <t>Peru</t>
  </si>
  <si>
    <t>Medellín</t>
  </si>
  <si>
    <t>Mexico City</t>
  </si>
  <si>
    <t>Quito</t>
  </si>
  <si>
    <t>Ecuador</t>
  </si>
  <si>
    <t>Rio de Janeiro</t>
  </si>
  <si>
    <t>Salvador</t>
  </si>
  <si>
    <t>Santiago</t>
  </si>
  <si>
    <t>Chile</t>
  </si>
  <si>
    <t>São Paulo</t>
  </si>
  <si>
    <t>Austin</t>
  </si>
  <si>
    <t>United States</t>
  </si>
  <si>
    <t>Boston</t>
  </si>
  <si>
    <t>Chicago</t>
  </si>
  <si>
    <t>Houston</t>
  </si>
  <si>
    <t>Los Angeles</t>
  </si>
  <si>
    <t>Miami</t>
  </si>
  <si>
    <t>Montréal</t>
  </si>
  <si>
    <t>Canada</t>
  </si>
  <si>
    <t>New Orleans</t>
  </si>
  <si>
    <t>New York City</t>
  </si>
  <si>
    <t>Philadelphia</t>
  </si>
  <si>
    <t>Phoenix</t>
  </si>
  <si>
    <t>Portland</t>
  </si>
  <si>
    <t>San Francisco</t>
  </si>
  <si>
    <t>Seattle</t>
  </si>
  <si>
    <t>Toronto</t>
  </si>
  <si>
    <t>Vancouver</t>
  </si>
  <si>
    <t>Ahmedabad</t>
  </si>
  <si>
    <t>India</t>
  </si>
  <si>
    <t>Amman</t>
  </si>
  <si>
    <t>Jordan</t>
  </si>
  <si>
    <t>Bengaluru</t>
  </si>
  <si>
    <t>Chennai</t>
  </si>
  <si>
    <t>Delhi NCT</t>
  </si>
  <si>
    <t>Dhaka (North &amp; South)</t>
  </si>
  <si>
    <t>Bangladesh</t>
  </si>
  <si>
    <t>Dubai</t>
  </si>
  <si>
    <t>United Arab Emirates</t>
  </si>
  <si>
    <t>Karachi</t>
  </si>
  <si>
    <t>Pakistan</t>
  </si>
  <si>
    <t>Mumbai</t>
  </si>
  <si>
    <t>Washington DC</t>
  </si>
  <si>
    <t>Combined</t>
  </si>
  <si>
    <t>Other_city</t>
  </si>
  <si>
    <t>Not listed</t>
  </si>
  <si>
    <t>Response</t>
  </si>
  <si>
    <t xml:space="preserve">     Other city (write here, formatted as "Country - City")</t>
  </si>
  <si>
    <t>City name? (Use dropdown list to select from C40 cities, or enter 'Not listed')</t>
  </si>
  <si>
    <t>Overall</t>
  </si>
  <si>
    <t>Definitions</t>
  </si>
  <si>
    <t>Are community members from marginalized or vulnerable groups–or from disproportionately exposed areas of your city–engaged in decisionmaking about where to locate air pollution monitors?
Marginalized community members may include low-income residents, racial or ethnic minority groups, migrants, linguistic minorities, religious minorities, Indigenous peoples, women, or any other oppressed or disenfranchised group.</t>
  </si>
  <si>
    <t>Are labor unions, worker cooperatives, and community organizations actively engaged in decisionmaking about where to locate air pollution monitors?
Spatial and temporal resolution should be high enough to identify specific neighborhoods and other areas of your city that are disproportionately impacted by air pollution.</t>
  </si>
  <si>
    <t xml:space="preserve">Does your city government have partnerships with industry, transportation, and agricultural sectors to improve emission inventories?
</t>
  </si>
  <si>
    <t>Does  your city collect data on indoor air quality proxy measures?
“Proxy measures” include any data points that indicate potential indoor air quality problems. For example, mold complaints or mold abatement requests can indicate homes with poor indoor air quality.</t>
  </si>
  <si>
    <t>Do you collect data on how air quality-related costs (such as energy or transportation expenses) affect households and businesses?</t>
  </si>
  <si>
    <t>Are members of communities that are disproportionately impacted by air pollution engaged in the design and review of data systems that monitor labor market data and other job-related outcomes?
For this question, “job-related” outcomes include opportunities to participate in job retraining, job placement, and green job creation programs.
This is important because air quality policies may not be equitable if they result in economic hardship for vulnerable populations. Instead, equitable air quality policies should provide benefits to vulnerable populations, including economic and job-related benefits.</t>
  </si>
  <si>
    <t>Does your city collect data to track economic transitions related to air quality (e.g., shifts in employment, consumer prices, small business closures/openings)?</t>
  </si>
  <si>
    <t>Is there a mechanism (for example, regular meetings in neighborhoods across your city) to ensure that community-generated data and lived experiences are collected and used by city government staff for policy, resource allocation, and program design?</t>
  </si>
  <si>
    <t>Does your city track and make available data on competing risks to health and equity (e.g., drinking water quality, pesticide use, chemical exposures)?</t>
  </si>
  <si>
    <t>Data Partnerships and Linkages</t>
  </si>
  <si>
    <t>Are satellite products linked with other air pollution monitoring data and with health and economic data (e.g., hospitalizations, asthma prevalence)?
Satellite-derived air quality data can complement air quality monitoring data, particularly where monitoring data is sparse.</t>
  </si>
  <si>
    <t>Does your city have access to historical meteorological data for your city and the surrounding areas that can be linked to other data sources?
Historical data can be helpful when estimating air pollution over time.</t>
  </si>
  <si>
    <t>Can your city obtain and link data from low-cost sensors maintained by non-governmental organizations or private individuals?</t>
  </si>
  <si>
    <t>Is dedicated technical support provided to community groups managing their own low-cost sensor projects to ensure data quality and sensor calibration?</t>
  </si>
  <si>
    <t>Is your city able to link and map yearly data on instances of floods, heat waves, toxic chemical contamination, and other environmental burdens?</t>
  </si>
  <si>
    <t>Data Disaggregation and Integration</t>
  </si>
  <si>
    <t>Are community-generated data sources and data from lived experiences integrated into official city data sources?</t>
  </si>
  <si>
    <t>Are multiple years of historical land use and zoning data available to link to other data sets?
This type of data linkage can support air quality projections, health impact projections, and economic policy impact projections, among other topics.</t>
  </si>
  <si>
    <t>Does your city have the ability (sensors, expertise, etc) to gather indoor air quality data across diverse housing types and locations (e.g., underinvested neighborhoods, high-rise apartments)?</t>
  </si>
  <si>
    <t>Are smaller, un-inventoried, unconventional, hyper-local, or illegal sources of air pollution tracked by your city, preferably in consultation with vulnerable communities?
Such sources may include backyard burning or unlicensed chemical use.</t>
  </si>
  <si>
    <t>Data Analysis and Modeling</t>
  </si>
  <si>
    <t xml:space="preserve">Does your city use open-source data analysis tools (e.g., R, QGIS) for its analyses?
Using open-source tools can ensure your city’s technical capacity is robust because they do not require your city to purchase new software every few years. </t>
  </si>
  <si>
    <t>Are data fusion techniques used to combine remote sensing, ground-based, and modeled data to enhance exposure assessment?</t>
  </si>
  <si>
    <t>Are model assumptions and data limitations clearly documented and communicated?</t>
  </si>
  <si>
    <t>Are exposure models evaluated for accuracy where monitoring data may be sparse?</t>
  </si>
  <si>
    <t>Are appropriate concentration–response functions available and applied?</t>
  </si>
  <si>
    <t>Is population-specific epidemiological literature used for equity analysis? (i.e., using research from/with affected populations)</t>
  </si>
  <si>
    <t>Do evaluations report whether health outcomes (e.g., fewer hospital visits, lower asthma rates) improve after interventions?</t>
  </si>
  <si>
    <t>Do marginalized groups or their representatives have a clear mechanism to provide input on—or object to—the data and assumptions underpinning equity impact analyses?</t>
  </si>
  <si>
    <t>Data Communication</t>
  </si>
  <si>
    <t>Does your city track public engagement with any publicly available air quality data?
This could include simply counting the number of visits to relevant webpages, and it would be a helpful datapoint to consider when building equitable air quality policies.</t>
  </si>
  <si>
    <t>Are there frequent, accessible training opportunities provided to communities and neighborhoods on how to use monitors, and store/access and interpret air quality data?</t>
  </si>
  <si>
    <t>Is air monitoring data translated into non-technical summaries and available in the primary languages spoken by residents in the monitored communities?</t>
  </si>
  <si>
    <t>Are equity-focused and community organizations meaningfully included in governance and capacity-building on issues related to data sources, data use, and data analysis, and not just technical agencies?</t>
  </si>
  <si>
    <t>Are the health sector and community organizations actively engaged in decision-making regarding data sources, data use, and data analyses, not just consulted after the fact?</t>
  </si>
  <si>
    <t>Ecosystem Domains</t>
  </si>
  <si>
    <t>Does the city or sponsor have access to long-term air quality monitoring data from national or state / provincial governments?
By “long-term,” this question refers to data collected over several years. Ideally, this data will be at high spatial and temporal (e.g., daily) resolution as well.</t>
  </si>
  <si>
    <t xml:space="preserve">Do models incorporate local source contributions to identify drivers of inequitable exposures  using resident-collected air quality data that is integrated with official datasets? </t>
  </si>
  <si>
    <t>This page counts the number of questions at the intersection of each category, domain, and equity theme. Areas with fewer questions may be areas of opportunity to further expand or consider revising scoring mapping.</t>
  </si>
  <si>
    <r>
      <rPr>
        <b/>
        <i/>
        <sz val="11"/>
        <color theme="1"/>
        <rFont val="Figtree"/>
      </rPr>
      <t>3</t>
    </r>
    <r>
      <rPr>
        <i/>
        <sz val="11"/>
        <color theme="1"/>
        <rFont val="Figtree"/>
      </rPr>
      <t xml:space="preserve">     Full implementation. Long-term, sustainable, and transparent ability to address this question. Equity is given full consideration with disaggregation (when applicable) across multiple characterizations (i.e., demographic, socioeconomic). </t>
    </r>
  </si>
  <si>
    <t>The Equity in Air Quality Policy and Data Ecosystem self-assessment (EQuiPD) tool will help you understand your city’s ability to effectively manage, use, craft, and implement policies at the intersection of air quality and equity - informed by air quality, health and equity data. EQuiPD is designed to guide your development around data, air quality monitoring, technical capacity, training, and infrastructure so that you can address air quality with full consideration of health and equity. You can use EQuiPD-generated results to ensure you have the necessary data for a more complete understanding of your city and determine if you have fundamental information necessary for designing equitable air quality policies and assessing policy benefits aligned with the five equity impact areas outlined in the C40 report: Clean air, healthy and thriving communities: Opportunities for city leadership [1]. Finally, EQuiPD will guide you in identifying gaps across your city’s equity in air quality policy ecosystem so you can focus development and strengthen the underlying data resources, technical capacities to manage and process data, and partnerships for sharing and integrating air quality, health and equity data that can compliment your city’s efforts to ensure more equitable policy outcomes.</t>
  </si>
  <si>
    <t>[1] Clean air, healthy and thriving communities: Opportunities for city leadership</t>
  </si>
  <si>
    <t>[2] Additional descriptions on categories, domains, and themes of equity used throughout this tool</t>
  </si>
  <si>
    <t>Technical Capability</t>
  </si>
  <si>
    <t>The city government’s infrastructure, expertise, and resources for accurately monitoring, analyzing, and managing data. This includes the availability of appropriate equipment, digital platforms, skilled personnel, and technical support.</t>
  </si>
  <si>
    <t>The ability to combine and align air quality data with other relevant data sources (such as health, demographic, geographic, and socioeconomic data). This includes systems and processes for data sharing, interdepartmental data flows, interoperability, and the consolidation of data into actionable insights to inform policy and interventions.</t>
  </si>
  <si>
    <t>Internal processes</t>
  </si>
  <si>
    <t>The city government’s organizational procedures, policies, and practices for managing air quality, health, and equity initiatives. This covers strategic planning, interdepartmental coordination, budgeting, workflow management, staff training, and evaluation mechanisms to ensure effective implementation and accountability.</t>
  </si>
  <si>
    <t>The involvement and engagement of external parties—such as community groups, residents, businesses, academic institutions, nonprofits, and regional or national governmental agencies—in planning, decision-making, and program implementation related to air quality, public health, and equity. This includes collaboration, transparent communication, and shared governance where appropriate.</t>
  </si>
  <si>
    <t>Equity and air quality data is useful in and of itself to develop a more complete understanding of your city. This theme examines whether benefits, risks, costs, and opportunities from policies are fairly distributed among different social, economic, and demographic groups. Questions generally revolve around assessing health inequalities, cost of living, and fairness of air quality actions to better understand the components of air pollution injustice.</t>
  </si>
  <si>
    <t>Equity and air quality data provide fundamental information for assessing policy outcomes. This theme relates to communities and workers ability to adapt, benefit, and thrive amid policy-driven changes—such as job transitions, economic shifts, and changes in cost of living—while promoting fair access to new opportunities (e.g., green jobs, retraining). Questions generally focus on economic opportunities (including green jobs and training), cost of living, and access to information and public spaces to better understand the drivers of air pollution injustice</t>
  </si>
  <si>
    <t>Ensuring equitable outcomes along the five equity impact areas outlined by C40. This theme addresses equitable access to information, services, public resources, infrastructure, participation in decision-making, and physical environments for all communities, especially those historically marginalized. Questions focus on accessibility and inclusion to services, public spaces, and information as well as engagement and decision making around data.</t>
  </si>
  <si>
    <t>Health &amp; economic impact modeling</t>
  </si>
  <si>
    <t>Are mechanisms in place to ensure that the data and findings used for just energy transition planning and air quality policy implementation are communicated to and validated by women, youth, Indigenous peoples, racial/ethnic minorities, and other frontline communities relevant
to your city and context?</t>
  </si>
  <si>
    <t xml:space="preserve">*Do air pollution monitoring locations prioritize high-risk groups (for example., children, elderly, people with pre-existing conditions) and neighborhoods with historical underinvestment?
</t>
  </si>
  <si>
    <t>*Does your city collect air pollution data at high spatial and temporal resolution, especially in areas of concern and prioritize high risk groups (e.g., children, elderly, underinvested neighborhoods)?
Spatial and temporal resolution should be high enough to identify specific neighborhoods and other areas of your city that are disproportionately impacted by air pollution.</t>
  </si>
  <si>
    <t>*Does your city collect air pollution data from point, area, and mobile sources, including power plants, shipping lanes, transportation hubs and routes, and industrial areas?</t>
  </si>
  <si>
    <t>*Is data collected regarding the type of energy sources (coal, oil, gas, renewables, etc.) used by households in your city, as well as the location and number of such households?
For example, do you know the location and number of households that have access to “clean energy,” which includes energy sources that produce no greenhouse gas emissions during their production or use?</t>
  </si>
  <si>
    <t>*Does your city collect or have access to real-time meteorological forecast data for your city and the surrounding areas?
Meteorological data can be important both for air quality monitoring and for alerting residents to potential health hazards. Such data is particularly important for cities that experience extreme weather events.</t>
  </si>
  <si>
    <t>*Does your city collect data on accessibility that can  characterize inequities for specific vulnerable populations, such as low-income or elderly populations?
For this question, “accessibility” refers to whether all city residents–regardless of their physical or intellectual abilities–can interact with the information on air quality and related issues that you provide.</t>
  </si>
  <si>
    <t>*Is there data to characterize access to public clean air spaces, including by multiple transportation modes, e.g. sidewalks, roadways, public transit?</t>
  </si>
  <si>
    <t>*Does your city collect health outcome data at high spatial and temporal resolution?
For example, does it collect data on the number of daily visits to specific clinics or hospitals (and the causes for those visits), or the number of child absences from city schools?
“High spatial resolution” means that you know the approximate location (residential address, address of medical facility, or neighborhood) of the health event.
“High temporal resolution” means daily or, at a minimum, weekly counts, though yearly counts can still be helpful when modeling the impacts of air pollution policies over long periods of time.
Note: this question only asks whether the city government collects this data directly. Separate questions later in the questionnaire will ask about data sharing with hospitals, ministries of health, and other groups that may have health data.</t>
  </si>
  <si>
    <t>*Does your city collect labor market data (e.g., by gender, race/ethnicity, age, region, occupation) on current workforce composition, sectoral vulnerabilities related to air quality policies and energy transitions, and potential for participation in green job sectors?</t>
  </si>
  <si>
    <t>*Does your city collect data on the combined impacts of air quality interventions on employment in economically disadvantaged communities?
For example, are potential job losses or gains due to air quality interventions monitored?
For this question, consider all types of “air quality interventions,”, including transitions to clean (or cleaner) energy, clean (or cleaner) transportation, clean (or cleaner) waste management systems, or any other policy or program meant to reduce air pollution.</t>
  </si>
  <si>
    <t>*Does your city systematically keep track of and report data gaps (for example, missing or unavailable data) in its datasets that might disproportionately impact disadvantaged communities?
For this question, “datasets” include all datasets relevant to equity analyses, such as data on health burdens, employment opportunities, economic activity, accessibility (e.g., transportation), etc.</t>
  </si>
  <si>
    <t>*Does your city have systems for documentation and version control for all of its datasets?</t>
  </si>
  <si>
    <t>*Do air quality modeling staff collaborate with staff maintaining air quality monitoring networks so that they can bias-correct model predictions?</t>
  </si>
  <si>
    <t>*Does your city collect detailed social, demographic, and economic data about its residents and where they live?
These datasets might include resident age, sex and gender, income, migration status, county of origin, racial or ethnic identity, religious affiliation, primary language spoken, education level, employment status, and occupation. They might also include area-level variables like poverty rates or joblessness rates.
This data is critical to understanding the sociodemographic composition of neighborhoods and how some groups might be affected by air pollution and air quality policies more than others.</t>
  </si>
  <si>
    <t>*Does your city employ staff or consultants responsible for maintaining and linking air quality, environmental, demographic, health, economic, and other datasets and data pipelines?
A “data pipeline” can include computing scripts–often in Python, R, or a similar language–that can make data available for analysis and sharing.</t>
  </si>
  <si>
    <t>*Has your city established data sharing partnerships between each department within your city that collects datasets that are important for analyzing the equity impacts of air quality policies?
These departments in your city may include environmental and air quality departments, planning departments, health departments, transportation departments, and economic development or employment departments.
Partnerships may take many forms, including regularly scheduled communication among departments, cross-department working groups, or data sharing agreements and Memorandums of Understanding.</t>
  </si>
  <si>
    <r>
      <t xml:space="preserve">*Has your city established partnerships and processes to share </t>
    </r>
    <r>
      <rPr>
        <b/>
        <sz val="11"/>
        <color rgb="FF000000"/>
        <rFont val="Figtree"/>
      </rPr>
      <t xml:space="preserve">air quality </t>
    </r>
    <r>
      <rPr>
        <sz val="11"/>
        <color rgb="FF000000"/>
        <rFont val="Figtree"/>
      </rPr>
      <t>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</si>
  <si>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r>
      <t xml:space="preserve">*Has your city established partnerships and processes to share </t>
    </r>
    <r>
      <rPr>
        <b/>
        <sz val="11"/>
        <color rgb="FF000000"/>
        <rFont val="Figtree"/>
      </rPr>
      <t>health and economic impact/disparities</t>
    </r>
    <r>
      <rPr>
        <sz val="11"/>
        <color rgb="FF000000"/>
        <rFont val="Figtree"/>
      </rPr>
      <t xml:space="preserve"> data with relevant officials in other levels of government, including state / provincial and national levels, that affect your city?
Relevant officials may include those in ministries of health, public health, environment, transportation, economic development, infrastructure, and others.</t>
    </r>
  </si>
  <si>
    <t>*Does your city have the capacity to link air pollution model data (versus monitor data), particularly where either regulatory or low-cost air pollution monitor data is sparse?
Air pollution model data (rather than monitor-based data) are often produced by outside experts. Thus, model-based data often needs to be linked. This question asks whether your city has the capacity to link this type of data.</t>
  </si>
  <si>
    <t>*Does your city link data on housing conditions, energy use patterns, household activities and behaviors, and indoor air pollutant sources?</t>
  </si>
  <si>
    <t>*Are emission and/or air quality datasets linked with workforce data (e.g., employment sectors, wages, occupational health)?</t>
  </si>
  <si>
    <t>*Does your city link source-specific emissions monitoring data to health and economic datasets?
For example,  traffic-related NO2 data could be linked with childhood asthma rates, or  shipping sulfur data could be linked with respiratory hospitalizations.</t>
  </si>
  <si>
    <t>*Does your city map historical data (e.g., data over many years) on environmental burdens (air pollution, heat waves, floods, chemical exposures, etc.) and social variables (including poverty rates, migration status, race / ethnicity of residents, etc.) across neighborhoods? 
Put differently, can you visualize on a map the number of environmental burdens each neighborhood in your city has experienced over time to understand whether and where vulnerable populations may face higher levels of total environmental burdens?
Burdens may include floods, heat waves, toxic chemical contamination, and other environmental burdens?</t>
  </si>
  <si>
    <t>*Is your city able to disaggregate air quality data to measure how different groups in your city–and particularly vulnerable and marginalized groups–are exposed to different levels of air pollution?
This process generally requires cities to be able to link and map sociodemographic and air pollution data, and to understand both (1) how air pollution differs across neighborhoods and (2) demographic characteristics of groups living in highly polluted neighborhoods.</t>
  </si>
  <si>
    <t>*Are you able to disaggregate all other environmental data sources–including those measuring point / source emissions, meteorology, floods, and chemical use–by sociodemographic characteristics?
As in the question above related to air pollution data, this ability is central to understanding health and economic equity impacts of air pollution.</t>
  </si>
  <si>
    <t>*Can your city disaggregate labor market and economic data sources--including those job creation, job loss, and other economic costs-–by sociodemographic characteristics?</t>
  </si>
  <si>
    <t>*Are all health outcomes related to air pollution exposure disaggregated by demographics such as race, income, age, gender, and geography?</t>
  </si>
  <si>
    <t>*Does your city disaggregate air pollution, environmental, health, and economic data by multiple demographics simultaneously?
For example, some cities may disaggregate air pollution exposure by one characteristic (e.g., nativity) at a time. However, more detailed equity analyses consider the impact of intersecting facets of identity and social position. As such, they may disaggregate data based on two or more characteristics (e.g., nativity and poverty status) at the same time.
In these cases, you might consider how air pollution exposure differs among, for example,  low-income migrant residents, high-income migrant residents, low-income native residents, and high-income native residents.</t>
  </si>
  <si>
    <t xml:space="preserve">*Do your city’s analyses incorporate spatially and temporally aligned (i.e., “harmonized”) demographic, air quality, health, and economic outcome data?
In other words,  if you use demographic, air quality, health, and economic data in your analyses, were the various types of data collected during the same time period and at the same spatial scale (for example., street-level, neighborhood-level, city-level, province-level, etc.)? </t>
  </si>
  <si>
    <t>*Does your city have access to computing resources including  computers and statistical analysis software (e.g., R, SAS, or similar software, as well as GIS software) that can (1) process large-scale datasets and (2) estimate differences in air pollution risks across different population groups?
It is important that these computing resources are powerful enough to handle large datasets and to estimate how health and economic outcomes are affected by air pollution (i.e., so-called “exposure-response datasets and risk models”).</t>
  </si>
  <si>
    <t>*Does your city systematically measure the effects of air quality policies to ensure they reduce inequities in air pollution exposure and related health economic effects?
For example, the AQUA tool from C40 is one tool that can be used to measure health effects, but your city may choose other tools for this purpose.</t>
  </si>
  <si>
    <t>*Are health risks from air pollution explicitly modeled for multiple demographics, and do these risks consider non-chemical stressors?</t>
  </si>
  <si>
    <t>*Are baseline population and health outcome incidence data available?</t>
  </si>
  <si>
    <t>*Are analyses stratified by socio-demographic groups to assess whether vulnerable populations benefit equally from interventions?</t>
  </si>
  <si>
    <t>*Do evaluations attempt to assess whether health and economic disparities among marginalized groups (compared to groups who are not marginalized) from air pollution and air quality policies are narrowing or widening over time?</t>
  </si>
  <si>
    <t>*Are policy-based scenarios evaluated for distributional fairness (who benefits most/least)?</t>
  </si>
  <si>
    <t>*Are health and equity outcomes among marginalized, vulnerable, or particularly susceptible groups (children, elderly, people with chronic illness) explicitly quantified?</t>
  </si>
  <si>
    <t>*Do health and economic impact assessments of air quality policies include analyses of differential burdens across diverse groups and local economies (e.g., low income workers)?</t>
  </si>
  <si>
    <t>*Does your city analyze health and economic costs associated with policy compliance or adaptation and how this is distributed across communities and businesses of different sizes?</t>
  </si>
  <si>
    <t xml:space="preserve">*Does your city have programs or policies to ensure that community members from marginalized, vulnerable, or disproportionately exposed areas are engaged in decisionmaking about how to interpret and analyze air pollution data from your city? </t>
  </si>
  <si>
    <t>*Can the public access your city’s air quality and emissions data for free?
Public access could include internet-based tools or apps.
Note: This specific question refers only to the ability of the public to access your data. It does not refer to whether the public actually uses whatever tools may exist.</t>
  </si>
  <si>
    <t>*Are public-facing data platforms designed with community input to ensure accessibility (e.g., mobile-friendly, low-data consumption, interactive maps) rather than relying solely on raw data files?</t>
  </si>
  <si>
    <t xml:space="preserve">*Are real-time air quality alerts and warnings, resources, and recommendations for protective actions available to residents in all neighborhoods in your city? 
For this question, consider whether these resources (alerts, recommendations, etc.) are disseminated through multiple platforms, including websites, apps, text messaging, or other media. </t>
  </si>
  <si>
    <t>*Are policy effects evaluated and reported back to communities in a transparent and publicly accessible way?</t>
  </si>
  <si>
    <t>*Are local community members and business leaders actively engaged in decision-making regarding data sources, data use, and data analyses,  not just consulted after the fact?</t>
  </si>
  <si>
    <t>*Are stakeholders within the government able to access and distribute quality-assured air quality data?</t>
  </si>
  <si>
    <r>
      <t xml:space="preserve">The EQuiPD self-assessment contains 80 questions regarding data in our city. These questions are broken down across how data is collected, linked, disaggregated and integrated, analyzed, and communicated. Your responses to these questions will be used to calculate scores across six categories within four ecosystem domains and three themes of equity (see [2] for more detail). As you make progress in developing your city's data ecosystem for equitable air quality policies, you are encouraged to redo this assessment again in the future and reflect on growth over time.
</t>
    </r>
    <r>
      <rPr>
        <i/>
        <sz val="11"/>
        <color theme="1"/>
        <rFont val="Figtree"/>
      </rPr>
      <t>**Note: Questions marked '*' are essential to answer and should not be skipped. Other questions will help add nuance for EQuiPD to understand your city's policy and data ecosystem and are highly recommended to answer.</t>
    </r>
  </si>
  <si>
    <t>Recommendations</t>
  </si>
  <si>
    <t>Create a community advisory panel with real decision‑making power in monitor placement to ensure lived experience shapes data coverage. Examples: Allow residents to vote on final monitor placements in two high‑pollution corridors; rotate panel membership annually to include renters from impacted zones.</t>
  </si>
  <si>
    <t>Convene an emissions‑improvement working group with major sectors to update inventories annually. Examples: Meet quarterly with refinery operators to review flaring data; coordinate with warehouse operators to track truck fleet turnover.</t>
  </si>
  <si>
    <t>Gather or estimate household fuel‑use patterns to identify indoor and outdoor emissions sources. Examples: Map homes still using wood stoves; identify multifamily buildings heated with older oil boilers.</t>
  </si>
  <si>
    <t>Deploy portable indoor air sensors with partners such as housing authorities to understand indoor exposures. Examples: Place sensors in public‑housing units during winter heating season; monitor indoor PM2.5 in childcare centers near freeways.</t>
  </si>
  <si>
    <t>Track household energy and transportation burdens to understand economic stress linked to pollution and energy transitions. Examples: Analyze utility bill data for low‑income households; survey commute distances for car‑dependent neighborhoods.</t>
  </si>
  <si>
    <t>Hold regular coordination meetings between modeling and monitoring teams to align assumptions and calibration. Examples: Update modelers on new monitor calibration methods; inform monitoring teams about modeling parameter changes.</t>
  </si>
  <si>
    <t>Data Collection</t>
  </si>
  <si>
    <t>Score</t>
  </si>
  <si>
    <t>Finished? Visit the 'Scoring' tab to see your results</t>
  </si>
  <si>
    <t>View recommendations and next steps</t>
  </si>
  <si>
    <t>Learn more about Categories, Domains, and Themes</t>
  </si>
  <si>
    <t>Date completed</t>
  </si>
  <si>
    <t>Scoring</t>
  </si>
  <si>
    <t>To identify gaps and recommendations begin by filtering by category, domain, and/or equity theme. Use the dropdown arrows in the right-hand columns below and check '1' for the areas you are interested in learning more about.</t>
  </si>
  <si>
    <t>Date</t>
  </si>
  <si>
    <t>Assign a dedicated data engineering team to maintain pipelines and ensure data quality. Examples: Automate ingestion of real‑time sensor feeds; implement validation checks for emissions updates.</t>
  </si>
  <si>
    <t>Use satellite‑based datasets to fill spatial gaps in monitoring coverage. Examples: Blend TROPOMI NO2 with ground monitors; use MODIS AOD to estimate PM2.5 in rural outskirts.</t>
  </si>
  <si>
    <t>Use modeled estimates when monitors are sparse or absent. Examples: Use CMAQ for industrial zones without sensors; apply WRF‑Chem for wildfire‑smoke scenarios.</t>
  </si>
  <si>
    <t>Integrate historical meteorological records for trend analysis and modeling. Examples: Include 20‑year wind roses in source‑apportionment; use multi‑decade temperature data to study heat‑pollution interactions.</t>
  </si>
  <si>
    <t>Run calibration clinics to help residents maintain sensor accuracy. Examples: Host weekend calibration events at libraries; provide loaner calibration equipment for community groups.</t>
  </si>
  <si>
    <t>Link emissions hotspots with wage, employment, and economic data. Examples: Overlay warehouse clusters with low‑wage worker density; compare refinery‑adjacent neighborhoods' income levels.</t>
  </si>
  <si>
    <t>Map cumulative burdens combining environmental, social, and economic stressors. Examples: Combine PM2.5, heat, and truck‑traffic metrics; integrate pollution with poverty and overcrowding data.</t>
  </si>
  <si>
    <t>Require de‑identified, demographically stratified health outcomes. Examples: Publish asthma ED visits by income bracket; track COPD hospitalizations by age group.</t>
  </si>
  <si>
    <t>Conduct intersectional analyses to understand overlapping vulnerabilities. Examples: Study exposure among low‑income seniors; analyze pollution burdens for disabled residents in industrial zones.</t>
  </si>
  <si>
    <t>Include qualitative community reports alongside quantitative datasets. Examples: Add odor complaints to refinery datasets; include residents’ noise logs near highways.</t>
  </si>
  <si>
    <t>Provide adequate computing infrastructure for advanced modeling and analyses. Examples: Offer cloud‑based workspaces for dispersion modeling; supply GPU resources for machine‑learning exposure estimates.</t>
  </si>
  <si>
    <t>Use open‑source tools for transparency and reproducibility. Examples: Use R for epidemiological models; use QGIS for mapping cumulative burdens.</t>
  </si>
  <si>
    <t>Model health risks using multi‑pollutant exposures and demographic factors. Examples: Estimate asthma risk increases from PM2.5 and NO2 combined; evaluate cardiovascular risks from long‑term ozone exposure.</t>
  </si>
  <si>
    <t>Publish metadata documenting methods, assumptions, and uncertainties. Examples: Provide calibration uncertainty for monitors; include model‑bias estimates in reports.</t>
  </si>
  <si>
    <t>Validate model results using independent datasets. Examples: Compare modeled PM2.5 to anchor monitors; compare modeled NO2 to satellite retrievals.</t>
  </si>
  <si>
    <t>Use epidemiological studies from comparable or local populations. Examples: Apply findings from a nearby county’s asthma cohort; use state‑level particulate‑mortality research.</t>
  </si>
  <si>
    <t>Assess which groups benefit most or least from new policies. Examples: Identify which neighborhoods saw the biggest PM2.5 drop after port electrification; determine which groups saw minimal improvement.</t>
  </si>
  <si>
    <t>Quantify distribution of benefits for vulnerable populations. Examples: Measure reductions in indoor PM2.5 for low‑income homes; calculate smoke‑day risk reductions for medically fragile residents.</t>
  </si>
  <si>
    <t>Evaluate how compliance and adaptation costs vary across groups. Examples: Study EV‑fleet upgrade costs for small delivery firms; analyze HVAC‑retrofit burdens for low‑income landlords.</t>
  </si>
  <si>
    <t>Provide formal feedback systems for residents to challenge assumptions. Examples: Online forms for disputing model results; structured review meetings to correct data errors.</t>
  </si>
  <si>
    <t>Provide real‑time alerts through multiple communication channels. Examples: SMS smoke alerts during wildfires; radio notices during industrial incidents.</t>
  </si>
  <si>
    <t>Offer community training workshops on air‑quality concepts and tools. Examples: Teach residents how to interpret PM2.5 graphs; train volunteers to maintain sensors.</t>
  </si>
  <si>
    <t>After assigning scores to all questions, you can directly upload this document into the online tool for visualization and identification of strengths and gaps as well as recommendations or examples to enhance and prepare your city's data ecosystem for equitable policy development.</t>
  </si>
  <si>
    <t>Are you willing to share your results with other C40 cities? (Yes/No)</t>
  </si>
  <si>
    <t>Develop a structured siting protocol that evaluates sensitive populations, land use, and pollution sources to ensure monitors are placed where health, social, economic inequities are highest. Examples: Install monitors near schools located by major roadways; add sensors in neighborhoods with high asthma hospitalization rates or high rates of joblessness or poverty.</t>
  </si>
  <si>
    <t>Include unions and community groups in siting workshops so occupational and local knowledge informs placement. Examples: Hold sessions with custodial worker unions to map indoor/outdoor hotspots; invite public housing tenant groups to identify overlooked pollution areas.</t>
  </si>
  <si>
    <t>Deploy more sensors in environmental justice neighborhoods where pollution varies block‑to‑block. Examples: Install sensors along heavy truck freight routes; add outdoor sensors around senior housing complexes affected by idling buses.</t>
  </si>
  <si>
    <t>Integrate all major emissions inventories, including industrial, commercial, and mobile sources, into a unified city emissions tracking database. Examples: Merge port cargo handling equipment emissions with truck movement data; integrate airport ground operations emissions into citywide inventory.</t>
  </si>
  <si>
    <t>Set up a reporting system where city residents can submit reports of emissions from small and unconventional sources that are often missed in inventories. Examples: Register generators used by food trucks; log emissions from small auto‑body shops using solvent‑based paints.</t>
  </si>
  <si>
    <t>Develop neighborhood- or block‑level demographic datasets to support granular equity analyses and pollutant‑exposure comparisons. Examples: Map block‑level renter density; compile household‑income distributions at sub‑neighborhood scales.</t>
  </si>
  <si>
    <t>Incorporate housing complaints and code enforcement requests as indicators of indoor air quality issues. Examples: Flag ventilation failure complaints; track mold reports as indicators of moisture‑driven air quality concerns.</t>
  </si>
  <si>
    <t>Integrate real‑time meteorological forecasts with pollution modeling for better short‑term predictions. Examples: Ingest hourly wind direction forecasts to predict smoke movement; apply inversion forecast data during winter stagnation periods; or simply record air temperature highs and lows alongside air quality data.</t>
  </si>
  <si>
    <t>Conduct accessibility audits and study barriers that limit public access to air quality information. Examples: Survey speakers of non-native languages about website usability; analyze whether mobile users can navigate the dashboard easily.</t>
  </si>
  <si>
    <t>Map clean‑air shelters and measure their accessibility by transit and walking. Examples: Identify libraries with HEPA filtration; evaluate whether shelters near industrial zones have transit service after 20:00 (8:00pm).</t>
  </si>
  <si>
    <t>Create secure, geocoded feeds of de‑identified health data to track pollution‑related illnesses. Examples: Receive weekly asthma‑related ER visit counts by neighborhood; map clinic visits for COPD exacerbations.</t>
  </si>
  <si>
    <t>Build an integrated hazard dashboard combining environmental, health, and exposure indicators. Examples: Show PM2.5 and ozone next to heat‑index alerts; visualize multi‑day wildfire smoke forecasts alongside hospital surge data.</t>
  </si>
  <si>
    <t>Acquire workforce and labor sector datasets to evaluate impacts of environmental policies on workers. Examples: Map diesel mechanic employment by racial or ethnic identity or country of origin; identify neighborhoods dependent on refinery‑related jobs.</t>
  </si>
  <si>
    <t>Hold co‑design workshops with workers and communities to shape labor data systems used in policy decisions. Examples: Host sessions with delivery drivers affected by zero emission zones; collaborate with warehouse workers on job quality indicators.</t>
  </si>
  <si>
    <t>Monitor economic indicators linked to environmental transitions to anticipate job shifts or cost burdens. Examples: Track employment changes after electrifying port drayage; monitor small business costs related to new emissions standards.</t>
  </si>
  <si>
    <t>Require job impact assessments for major clean air interventions to understand workforce consequences. Examples: Model job shifts from gas station closures; evaluate employment impacts of electrifying municipal fleets.</t>
  </si>
  <si>
    <t>Maintain a transparent registry documenting data gaps that hinder equity assessments. Examples: Note missing small business fuel use data; flag insufficient temporal coverage for neighborhood‑level PM2.5.</t>
  </si>
  <si>
    <t>Create a platform for uploading community‑generated observations, sensor data, or complaints. Examples: Let residents submit odor events via a mobile app; allow upload of community low‑cost PM2.5 sensor data.</t>
  </si>
  <si>
    <t>Use version‑controlled repositories to store datasets, code, and metadata. Examples: Maintain emissions inventory scripts in GitHub; track model update history through tagged releases.</t>
  </si>
  <si>
    <t>Establish formal agreements between departments to standardize data sharing. Examples: Sign a Memorandum of Understanding (MOU) enabling health and environment departments to share de‑identified health data; formalize sharing of traffic data from transportation agencies.</t>
  </si>
  <si>
    <t>Create standardized exports of air quality data to state-level or national authorities. Examples: Send monthly PM2.5 aggregates to the state air board; provide quarterly NO2 reports to national agencies.</t>
  </si>
  <si>
    <t>Share health and environmental disparity data with higher-level (e.g., state or national) governments to support funding and policy alignment. Examples: Report racial disparities in asthma to national environmental protection ministries; share cumulative burden maps with national environmental justice offices (if any).</t>
  </si>
  <si>
    <t>Import multi‑year regional datasets to strengthen long‑term analyses. Examples: Incorporate a decade of ozone data from state networks; use 15 years of PM2.5 trends from national sites.</t>
  </si>
  <si>
    <t>If possible, build APIs to ingest community sensor data with automated quality checks. Examples: Validate PurpleAir sensors using co‑located reference monitors; automatically remove spurious humidity‑driven spikes.</t>
  </si>
  <si>
    <t>Integrate long‑term environmental burden datasets into a unified GIS platform. Examples: Combine diesel truck corridor maps from 2010–2025; merge historical noise data with PM2.5 burdens.</t>
  </si>
  <si>
    <t>Link housing and indoor‑source datasets to understand compounded risks. Examples: Overlay gas stove prevalence with poor ventilation buildings; map old HVAC systems in wildfire smoke‑prone areas.</t>
  </si>
  <si>
    <t>Digitize historical zoning maps to understand legacy drivers of pollution patterns. Examples: Scan older industrial zoning maps.</t>
  </si>
  <si>
    <t>Connect emissions from specific sources to localized health outcomes. Examples: Link refinery SO2 levels to asthma visit clusters; map traffic‑related NO2 to cardiovascular incidents.</t>
  </si>
  <si>
    <t>Overlay demographic data on exposure maps to detect inequities. Examples: Compare PM2.5 by racial or ethnic identity (or country of origin, nativity, etc) across neighborhood units; examine ozone differences by income levels.</t>
  </si>
  <si>
    <t>Require demographic disaggregation across all environmental datasets. Examples: Break pollution exposure by age groups under 5 and over 65; map burdens for households with non-native language speakers.</t>
  </si>
  <si>
    <t>Disaggregate labor and economic datasets to reveal inequities. Examples: Analyze job quality for port truck drivers by education; compare wages for workers in high pollution industries.</t>
  </si>
  <si>
    <t>Use community sensors to refine source attribution and exposure tracking. Examples: Detect truck traffic PM spikes during peak hours; identify smoke intrusions during backyard burning.</t>
  </si>
  <si>
    <t>Standardize spatial and temporal units across datasets for comparability. Examples: Convert all PM measurements to hourly averages (if possible); align demographic data to the same neighborhood boundaries.</t>
  </si>
  <si>
    <t>Conduct before‑and‑after policy analyses to measure real‑world impact. Examples: Compare PM2.5 (or total truck traffic) before and after truck‑route changes; assess ozone improvements after industrial emission reductions.</t>
  </si>
  <si>
    <t>Apply data fusion methods combining monitors, satellites, and models. Examples: Use AOD satellite‑derived PM2.5 blended with ground data; integrate WRF‑Chem outputs with local sensors.</t>
  </si>
  <si>
    <t>Use locally relevant concentration‑response functions for health analyses. Examples: Apply neighborhood‑specific asthma incidence–PM2.5 coefficients if available; use local cardiovascular response functions.</t>
  </si>
  <si>
    <t>Publish regularly updated population and health baseline datasets. Examples: Release 2026 population denominators; update asthma incidence base rates yearly.</t>
  </si>
  <si>
    <t>Stratify policy impact analyses across demographic groups. Examples: Evaluate benefits of a wood stove ban by income quartile; assess exposure reductions among children after street redesign.</t>
  </si>
  <si>
    <t>Track multi‑year trends in environmental and health disparities. Examples: Monitor 15‑year NO2 inequity trends; track long‑term changes in asthma rates in environmental justice communities.</t>
  </si>
  <si>
    <t>Analyze how environmental burdens differ across communities. Examples: Compare highway noise levels across census tracts; evaluate heat risk disparities in tree‑poor neighborhoods.</t>
  </si>
  <si>
    <t>Create resident interpretation panels to review findings. Examples: Hold quarterly map review sessions with community reps; invite residents to annotate exposure graphs.</t>
  </si>
  <si>
    <t>Publish health improvements after interventions. Examples: Report fewer asthma visits following roadway redesign (if any); show reduced ER visits after indoor air filter installations (if any).</t>
  </si>
  <si>
    <t>Maintain a public open data portal for real‑time and historical air data. Examples: Post daily PM2.5 levels downloadable in CSV; provide multi‑year pollutant trend files.</t>
  </si>
  <si>
    <t>Co‑design public‑facing platforms with accessibility and multilingual features. Examples: Offer Spanish and Chinese versions of dashboards (or versions in other locally relevant languages); make mobile friendly visualizations.</t>
  </si>
  <si>
    <t>Track engagement metrics to evaluate communication effectiveness. Examples: Count app downloads during wildfire season; measure webpage visits on high pollution days.</t>
  </si>
  <si>
    <t>Hold public meetings and publish plain language summaries of results. Examples: Quarterly briefings with neighborhood groups; infographics explaining new regulations.</t>
  </si>
  <si>
    <t>Provide multilingual, accessible translations of data and visualizations. Examples: Infographics in Spanish and Vietnamese (or other locally relevant languages); audio versions for visually impaired residents.</t>
  </si>
  <si>
    <t>Include community and business leaders in data governance structures. Examples: Invite trucking company reps to advisory committees; include environmental justice organizations in decision meetings.</t>
  </si>
  <si>
    <t>Ensure government staff have training and access to high quality datasets. Examples: Provide GIS training to health department analysts; teach environmental staff how to query emissions databases.</t>
  </si>
  <si>
    <t>Include equity organizations in data system co‑design and capacity building. Examples: Collaborate with environmental justice nonprofits; train neighborhood coalitions in data interpretation.</t>
  </si>
  <si>
    <t>Conduct targeted outreach to communities most affected by pollution. Examples: Distribute wildfire smoke flyers in frontline neighborhoods; host tabling events at local markets.</t>
  </si>
  <si>
    <t>Form a joint data council linking health, environment, labor, and community stakeholders with formal decision power. Examples: Monthly cross‑agency council meetings; annual community review sessions for priority setting.</t>
  </si>
  <si>
    <t xml:space="preserve">       Data-sharing partnerships &amp; management tools</t>
  </si>
  <si>
    <t xml:space="preserve">       City/institutional buy-in, capacity building &amp; training</t>
  </si>
  <si>
    <t xml:space="preserve">       Public support &amp; engagement</t>
  </si>
  <si>
    <t xml:space="preserve">       Health &amp; economic impact modeling</t>
  </si>
  <si>
    <t xml:space="preserve">       Estimating air pollution</t>
  </si>
  <si>
    <t xml:space="preserve">       Source &amp; emission inventories</t>
  </si>
  <si>
    <t xml:space="preserve">       Technical Capability</t>
  </si>
  <si>
    <t xml:space="preserve">       Data Integration</t>
  </si>
  <si>
    <t xml:space="preserve">       Internal processes</t>
  </si>
  <si>
    <t xml:space="preserve">       Participation and Empowerment</t>
  </si>
  <si>
    <t xml:space="preserve">       Distributional Equity</t>
  </si>
  <si>
    <t xml:space="preserve">       Socioeconomic Resilience and Opportunity</t>
  </si>
  <si>
    <t xml:space="preserve">       Access and Inclusivity</t>
  </si>
  <si>
    <t>Notes</t>
  </si>
  <si>
    <t>v260116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</si>
</sst>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2"/>
      <color theme="1"/>
      <name val="Aptos Narrow"/>
      <family val="2"/>
      <scheme val="minor"/>
    </font>
    <font>
      <sz val="12"/>
      <color theme="1"/>
      <name val="Figtree"/>
    </font>
    <font>
      <b/>
      <sz val="24"/>
      <color theme="1"/>
      <name val="Figtree"/>
    </font>
    <font>
      <u/>
      <sz val="12"/>
      <color theme="10"/>
      <name val="Aptos Narrow"/>
      <family val="2"/>
      <scheme val="minor"/>
    </font>
    <font>
      <b/>
      <sz val="12"/>
      <color theme="1"/>
      <name val="Figtree"/>
    </font>
    <font>
      <b/>
      <sz val="14"/>
      <color theme="1"/>
      <name val="Figtree"/>
    </font>
    <font>
      <b/>
      <sz val="16"/>
      <color theme="1"/>
      <name val="Figtree"/>
    </font>
    <font>
      <b/>
      <i/>
      <sz val="14"/>
      <color theme="1"/>
      <name val="Figtree"/>
    </font>
    <font>
      <u/>
      <sz val="9"/>
      <color theme="10"/>
      <name val="Figtree"/>
    </font>
    <font>
      <sz val="9"/>
      <color theme="1"/>
      <name val="Figtree"/>
    </font>
    <font>
      <sz val="12"/>
      <color theme="0" tint="-0.14999847407452621"/>
      <name val="Figtree"/>
    </font>
    <font>
      <sz val="12"/>
      <color theme="0"/>
      <name val="Figtree"/>
    </font>
    <font>
      <sz val="12"/>
      <color theme="0" tint="-0.34998626667073579"/>
      <name val="Figtree"/>
    </font>
    <font>
      <sz val="11"/>
      <color theme="1"/>
      <name val="Figtree"/>
    </font>
    <font>
      <b/>
      <sz val="11"/>
      <color theme="1"/>
      <name val="Figtree"/>
    </font>
    <font>
      <i/>
      <sz val="11"/>
      <color theme="1"/>
      <name val="Figtree"/>
    </font>
    <font>
      <b/>
      <i/>
      <sz val="11"/>
      <color theme="1"/>
      <name val="Figtree"/>
    </font>
    <font>
      <sz val="11"/>
      <color theme="0" tint="-0.14999847407452621"/>
      <name val="Figtree"/>
    </font>
    <font>
      <sz val="11"/>
      <color theme="0" tint="-0.34998626667073579"/>
      <name val="Figtree"/>
    </font>
    <font>
      <sz val="11"/>
      <color rgb="FF000000"/>
      <name val="Figtree"/>
    </font>
    <font>
      <b/>
      <sz val="12"/>
      <color rgb="FF000000"/>
      <name val="Figtree"/>
    </font>
    <font>
      <sz val="8"/>
      <color theme="1"/>
      <name val="Figtree"/>
    </font>
    <font>
      <sz val="8"/>
      <color rgb="FF000000"/>
      <name val="Figtree"/>
    </font>
    <font>
      <b/>
      <sz val="16"/>
      <color rgb="FF000000"/>
      <name val="Figtree"/>
    </font>
    <font>
      <sz val="8"/>
      <color theme="0"/>
      <name val="Figtree"/>
    </font>
    <font>
      <b/>
      <sz val="11"/>
      <color rgb="FF000000"/>
      <name val="Figtree"/>
    </font>
    <font>
      <sz val="1"/>
      <color theme="0" tint="-0.14999847407452621"/>
      <name val="Figtree"/>
    </font>
    <font>
      <i/>
      <u/>
      <sz val="9"/>
      <color theme="10"/>
      <name val="Figtree"/>
    </font>
    <font>
      <i/>
      <u/>
      <sz val="11"/>
      <color theme="10"/>
      <name val="Figtree"/>
    </font>
  </fonts>
  <fills count="9">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5DB70"/>
        <bgColor indexed="64"/>
      </patternFill>
    </fill>
    <fill>
      <patternFill patternType="solid">
        <fgColor rgb="FFFAECB4"/>
        <bgColor indexed="64"/>
      </patternFill>
    </fill>
    <fill>
      <patternFill patternType="solid">
        <fgColor rgb="FFFFFFFF"/>
        <bgColor rgb="FF000000"/>
      </patternFill>
    </fill>
  </fills>
  <borders count="2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style="medium">
        <color indexed="64"/>
      </right>
      <top/>
      <bottom/>
      <diagonal/>
    </border>
    <border>
      <left/>
      <right/>
      <top style="thin">
        <color indexed="64"/>
      </top>
      <bottom/>
      <diagonal/>
    </border>
    <border>
      <left/>
      <right/>
      <top/>
      <bottom style="double">
        <color indexed="64"/>
      </bottom>
      <diagonal/>
    </border>
    <border>
      <left/>
      <right/>
      <top/>
      <bottom style="thin">
        <color auto="1"/>
      </bottom>
      <diagonal/>
    </border>
    <border>
      <left/>
      <right/>
      <top style="thin">
        <color auto="1"/>
      </top>
      <bottom style="thin">
        <color auto="1"/>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171">
    <xf numFmtId="0" fontId="0" fillId="0" borderId="0" xfId="0"/>
    <xf numFmtId="0" fontId="3" fillId="0" borderId="0" xfId="1"/>
    <xf numFmtId="0" fontId="10" fillId="4" borderId="0" xfId="0" applyFont="1" applyFill="1"/>
    <xf numFmtId="0" fontId="11" fillId="4" borderId="0" xfId="0" applyFont="1" applyFill="1"/>
    <xf numFmtId="0" fontId="12" fillId="4" borderId="0" xfId="0" applyFont="1" applyFill="1"/>
    <xf numFmtId="0" fontId="1" fillId="0" borderId="0" xfId="0" applyFont="1"/>
    <xf numFmtId="0" fontId="13" fillId="0" borderId="0" xfId="0" applyFont="1"/>
    <xf numFmtId="0" fontId="13" fillId="0" borderId="0" xfId="0" applyFont="1" applyAlignment="1">
      <alignment horizontal="center" vertical="center"/>
    </xf>
    <xf numFmtId="0" fontId="13" fillId="4" borderId="10" xfId="0" applyFont="1" applyFill="1" applyBorder="1" applyAlignment="1">
      <alignment horizontal="center" vertical="center"/>
    </xf>
    <xf numFmtId="0" fontId="13" fillId="4" borderId="0" xfId="0" applyFont="1" applyFill="1" applyAlignment="1">
      <alignment horizontal="center" vertical="center"/>
    </xf>
    <xf numFmtId="0" fontId="13" fillId="4" borderId="11" xfId="0" applyFont="1" applyFill="1" applyBorder="1" applyAlignment="1">
      <alignment horizontal="center" vertical="center"/>
    </xf>
    <xf numFmtId="0" fontId="1" fillId="4" borderId="10" xfId="0" applyFont="1" applyFill="1" applyBorder="1"/>
    <xf numFmtId="0" fontId="1" fillId="4" borderId="0" xfId="0" applyFont="1" applyFill="1"/>
    <xf numFmtId="0" fontId="1" fillId="4" borderId="11" xfId="0" applyFont="1" applyFill="1" applyBorder="1"/>
    <xf numFmtId="0" fontId="4" fillId="4" borderId="10" xfId="0" applyFont="1" applyFill="1" applyBorder="1"/>
    <xf numFmtId="0" fontId="4" fillId="4" borderId="0" xfId="0" applyFont="1" applyFill="1"/>
    <xf numFmtId="0" fontId="17" fillId="4" borderId="0" xfId="0" applyFont="1" applyFill="1"/>
    <xf numFmtId="0" fontId="13" fillId="4" borderId="0" xfId="0" applyFont="1" applyFill="1"/>
    <xf numFmtId="0" fontId="18" fillId="4" borderId="0" xfId="0" applyFont="1" applyFill="1"/>
    <xf numFmtId="0" fontId="5" fillId="3" borderId="0" xfId="0" applyFont="1" applyFill="1"/>
    <xf numFmtId="0" fontId="13" fillId="3" borderId="0" xfId="0" applyFont="1" applyFill="1"/>
    <xf numFmtId="0" fontId="13" fillId="3" borderId="14" xfId="0" applyFont="1" applyFill="1" applyBorder="1"/>
    <xf numFmtId="0" fontId="14" fillId="3" borderId="14" xfId="0" applyFont="1" applyFill="1" applyBorder="1" applyAlignment="1">
      <alignment horizontal="center"/>
    </xf>
    <xf numFmtId="0" fontId="14" fillId="3" borderId="0" xfId="0" applyFont="1" applyFill="1" applyAlignment="1">
      <alignment horizontal="center"/>
    </xf>
    <xf numFmtId="0" fontId="13" fillId="3" borderId="0" xfId="0" applyFont="1" applyFill="1" applyAlignment="1">
      <alignment horizontal="center" wrapText="1"/>
    </xf>
    <xf numFmtId="0" fontId="13" fillId="3" borderId="14" xfId="0" applyFont="1" applyFill="1" applyBorder="1" applyAlignment="1">
      <alignment horizontal="center" vertical="center" wrapText="1"/>
    </xf>
    <xf numFmtId="0" fontId="13" fillId="3" borderId="0" xfId="0" applyFont="1" applyFill="1" applyAlignment="1">
      <alignment horizontal="center" vertical="center" wrapText="1"/>
    </xf>
    <xf numFmtId="0" fontId="13" fillId="3" borderId="15" xfId="0" applyFont="1" applyFill="1" applyBorder="1" applyAlignment="1">
      <alignment horizontal="center" vertical="center" wrapText="1"/>
    </xf>
    <xf numFmtId="0" fontId="6" fillId="3" borderId="4" xfId="0" applyFont="1" applyFill="1" applyBorder="1"/>
    <xf numFmtId="0" fontId="1" fillId="3" borderId="5" xfId="0" applyFont="1" applyFill="1" applyBorder="1"/>
    <xf numFmtId="0" fontId="19" fillId="3" borderId="16" xfId="0" applyFont="1" applyFill="1" applyBorder="1" applyAlignment="1">
      <alignment wrapText="1"/>
    </xf>
    <xf numFmtId="0" fontId="20" fillId="3" borderId="16" xfId="0" applyFont="1" applyFill="1" applyBorder="1"/>
    <xf numFmtId="0" fontId="20" fillId="3" borderId="16" xfId="0" applyFont="1" applyFill="1" applyBorder="1" applyAlignment="1">
      <alignment horizontal="center"/>
    </xf>
    <xf numFmtId="0" fontId="6" fillId="3" borderId="19" xfId="0" applyFont="1" applyFill="1" applyBorder="1"/>
    <xf numFmtId="0" fontId="19" fillId="5" borderId="17" xfId="0" applyFont="1" applyFill="1" applyBorder="1" applyAlignment="1">
      <alignment wrapText="1"/>
    </xf>
    <xf numFmtId="0" fontId="6" fillId="3" borderId="19" xfId="0" applyFont="1" applyFill="1" applyBorder="1" applyAlignment="1">
      <alignment horizontal="center"/>
    </xf>
    <xf numFmtId="0" fontId="20" fillId="3" borderId="20" xfId="0" applyFont="1" applyFill="1" applyBorder="1"/>
    <xf numFmtId="0" fontId="1" fillId="3" borderId="14" xfId="0" applyFont="1" applyFill="1" applyBorder="1"/>
    <xf numFmtId="0" fontId="1" fillId="3" borderId="8" xfId="0" applyFont="1" applyFill="1" applyBorder="1"/>
    <xf numFmtId="0" fontId="1" fillId="3" borderId="10" xfId="0" applyFont="1" applyFill="1" applyBorder="1"/>
    <xf numFmtId="0" fontId="11" fillId="3" borderId="10" xfId="0" applyFont="1" applyFill="1" applyBorder="1"/>
    <xf numFmtId="0" fontId="1" fillId="3" borderId="9" xfId="0" applyFont="1" applyFill="1" applyBorder="1"/>
    <xf numFmtId="0" fontId="1" fillId="3" borderId="11" xfId="0" applyFont="1" applyFill="1" applyBorder="1"/>
    <xf numFmtId="0" fontId="9" fillId="7" borderId="16" xfId="0" applyFont="1" applyFill="1" applyBorder="1" applyAlignment="1" applyProtection="1">
      <alignment horizontal="center" vertical="center"/>
      <protection locked="0"/>
    </xf>
    <xf numFmtId="0" fontId="9" fillId="6" borderId="16" xfId="0" applyFont="1" applyFill="1" applyBorder="1" applyAlignment="1" applyProtection="1">
      <alignment horizontal="center" vertical="center"/>
      <protection locked="0"/>
    </xf>
    <xf numFmtId="0" fontId="7" fillId="3" borderId="3" xfId="0" applyFont="1" applyFill="1" applyBorder="1" applyAlignment="1">
      <alignment horizontal="center"/>
    </xf>
    <xf numFmtId="0" fontId="13" fillId="3" borderId="0" xfId="0" applyFont="1" applyFill="1" applyAlignment="1">
      <alignment horizontal="left" vertical="top" wrapText="1"/>
    </xf>
    <xf numFmtId="164" fontId="19" fillId="3" borderId="14" xfId="0" applyNumberFormat="1" applyFont="1" applyFill="1" applyBorder="1" applyAlignment="1">
      <alignment horizontal="center" vertical="center"/>
    </xf>
    <xf numFmtId="164" fontId="19" fillId="3" borderId="0" xfId="0" applyNumberFormat="1" applyFont="1" applyFill="1" applyAlignment="1">
      <alignment horizontal="center" vertical="center"/>
    </xf>
    <xf numFmtId="164" fontId="19" fillId="3" borderId="15" xfId="0" applyNumberFormat="1" applyFont="1" applyFill="1" applyBorder="1" applyAlignment="1">
      <alignment horizontal="center" vertical="center"/>
    </xf>
    <xf numFmtId="0" fontId="14" fillId="3" borderId="0" xfId="0" applyFont="1" applyFill="1" applyAlignment="1">
      <alignment horizontal="center" wrapText="1"/>
    </xf>
    <xf numFmtId="0" fontId="14" fillId="3" borderId="0" xfId="0" applyFont="1" applyFill="1" applyAlignment="1">
      <alignment horizontal="center" vertical="center" wrapText="1"/>
    </xf>
    <xf numFmtId="0" fontId="1" fillId="3" borderId="0" xfId="0" applyFont="1" applyFill="1"/>
    <xf numFmtId="0" fontId="1" fillId="0" borderId="10" xfId="0" applyFont="1" applyBorder="1"/>
    <xf numFmtId="0" fontId="1" fillId="0" borderId="11" xfId="0" applyFont="1" applyBorder="1"/>
    <xf numFmtId="0" fontId="6" fillId="3" borderId="0" xfId="0" applyFont="1" applyFill="1"/>
    <xf numFmtId="0" fontId="13" fillId="3" borderId="0" xfId="0" applyFont="1" applyFill="1" applyAlignment="1">
      <alignment horizontal="center" vertical="center"/>
    </xf>
    <xf numFmtId="0" fontId="19" fillId="3" borderId="16" xfId="0" applyFont="1" applyFill="1" applyBorder="1" applyAlignment="1">
      <alignment vertical="top" wrapText="1"/>
    </xf>
    <xf numFmtId="0" fontId="19" fillId="5" borderId="17" xfId="0" applyFont="1" applyFill="1" applyBorder="1" applyAlignment="1">
      <alignment vertical="top" wrapText="1"/>
    </xf>
    <xf numFmtId="0" fontId="19" fillId="5" borderId="18" xfId="0" applyFont="1" applyFill="1" applyBorder="1" applyAlignment="1">
      <alignment vertical="top" wrapText="1"/>
    </xf>
    <xf numFmtId="0" fontId="19" fillId="3" borderId="18" xfId="0" applyFont="1" applyFill="1" applyBorder="1" applyAlignment="1">
      <alignment vertical="top" wrapText="1"/>
    </xf>
    <xf numFmtId="0" fontId="21" fillId="3" borderId="10" xfId="0" applyFont="1" applyFill="1" applyBorder="1" applyAlignment="1">
      <alignment horizontal="center" vertical="top"/>
    </xf>
    <xf numFmtId="0" fontId="21" fillId="3" borderId="10" xfId="0" applyFont="1" applyFill="1" applyBorder="1"/>
    <xf numFmtId="0" fontId="22" fillId="8" borderId="10" xfId="0" applyFont="1" applyFill="1" applyBorder="1" applyAlignment="1">
      <alignment horizontal="center" vertical="top"/>
    </xf>
    <xf numFmtId="0" fontId="1" fillId="3" borderId="22" xfId="0" applyFont="1" applyFill="1" applyBorder="1"/>
    <xf numFmtId="0" fontId="13" fillId="3" borderId="16" xfId="0" applyFont="1" applyFill="1" applyBorder="1"/>
    <xf numFmtId="0" fontId="13" fillId="3" borderId="16" xfId="0" applyFont="1" applyFill="1" applyBorder="1" applyAlignment="1">
      <alignment horizontal="center" vertical="center"/>
    </xf>
    <xf numFmtId="0" fontId="1" fillId="3" borderId="23" xfId="0" applyFont="1" applyFill="1" applyBorder="1"/>
    <xf numFmtId="0" fontId="13" fillId="3" borderId="0" xfId="0" applyFont="1" applyFill="1" applyAlignment="1">
      <alignment wrapText="1"/>
    </xf>
    <xf numFmtId="1" fontId="19" fillId="3" borderId="14" xfId="0" applyNumberFormat="1" applyFont="1" applyFill="1" applyBorder="1" applyAlignment="1">
      <alignment horizontal="center" vertical="center"/>
    </xf>
    <xf numFmtId="1" fontId="19" fillId="3" borderId="0" xfId="0" applyNumberFormat="1" applyFont="1" applyFill="1" applyAlignment="1">
      <alignment horizontal="center" vertical="center"/>
    </xf>
    <xf numFmtId="1" fontId="19" fillId="3" borderId="15" xfId="0" applyNumberFormat="1" applyFont="1" applyFill="1" applyBorder="1" applyAlignment="1">
      <alignment horizontal="center" vertical="center"/>
    </xf>
    <xf numFmtId="1" fontId="17" fillId="4" borderId="0" xfId="0" applyNumberFormat="1" applyFont="1" applyFill="1"/>
    <xf numFmtId="1" fontId="13" fillId="4" borderId="0" xfId="0" applyNumberFormat="1" applyFont="1" applyFill="1"/>
    <xf numFmtId="1" fontId="18" fillId="4" borderId="0" xfId="0" applyNumberFormat="1" applyFont="1" applyFill="1"/>
    <xf numFmtId="1" fontId="5" fillId="3" borderId="0" xfId="0" applyNumberFormat="1" applyFont="1" applyFill="1"/>
    <xf numFmtId="1" fontId="13" fillId="3" borderId="0" xfId="0" applyNumberFormat="1" applyFont="1" applyFill="1"/>
    <xf numFmtId="1" fontId="13" fillId="0" borderId="0" xfId="0" applyNumberFormat="1" applyFont="1"/>
    <xf numFmtId="1" fontId="13" fillId="3" borderId="14" xfId="0" applyNumberFormat="1" applyFont="1" applyFill="1" applyBorder="1"/>
    <xf numFmtId="1" fontId="14" fillId="3" borderId="0" xfId="0" applyNumberFormat="1" applyFont="1" applyFill="1" applyAlignment="1">
      <alignment horizontal="center"/>
    </xf>
    <xf numFmtId="1" fontId="13" fillId="3" borderId="0" xfId="0" applyNumberFormat="1" applyFont="1" applyFill="1" applyAlignment="1">
      <alignment horizontal="center" wrapText="1"/>
    </xf>
    <xf numFmtId="1" fontId="13" fillId="3" borderId="14" xfId="0" applyNumberFormat="1" applyFont="1" applyFill="1" applyBorder="1" applyAlignment="1">
      <alignment horizontal="center" vertical="center" wrapText="1"/>
    </xf>
    <xf numFmtId="1" fontId="13" fillId="3" borderId="0" xfId="0" applyNumberFormat="1" applyFont="1" applyFill="1" applyAlignment="1">
      <alignment horizontal="center" vertical="center" wrapText="1"/>
    </xf>
    <xf numFmtId="1" fontId="13" fillId="3" borderId="15" xfId="0" applyNumberFormat="1" applyFont="1" applyFill="1" applyBorder="1" applyAlignment="1">
      <alignment horizontal="center" vertical="center" wrapText="1"/>
    </xf>
    <xf numFmtId="0" fontId="13" fillId="7" borderId="16" xfId="0" applyFont="1" applyFill="1" applyBorder="1" applyAlignment="1" applyProtection="1">
      <alignment horizontal="center" vertical="center"/>
      <protection locked="0"/>
    </xf>
    <xf numFmtId="0" fontId="13" fillId="6" borderId="17" xfId="0" applyFont="1" applyFill="1" applyBorder="1" applyAlignment="1" applyProtection="1">
      <alignment horizontal="center" vertical="center"/>
      <protection locked="0"/>
    </xf>
    <xf numFmtId="0" fontId="13" fillId="6" borderId="18" xfId="0" applyFont="1" applyFill="1" applyBorder="1" applyAlignment="1" applyProtection="1">
      <alignment horizontal="center" vertical="center"/>
      <protection locked="0"/>
    </xf>
    <xf numFmtId="0" fontId="13" fillId="7" borderId="18" xfId="0" applyFont="1" applyFill="1" applyBorder="1" applyAlignment="1" applyProtection="1">
      <alignment horizontal="center" vertical="center"/>
      <protection locked="0"/>
    </xf>
    <xf numFmtId="0" fontId="13" fillId="3" borderId="0" xfId="0" applyFont="1" applyFill="1" applyAlignment="1">
      <alignment vertical="top" wrapText="1"/>
    </xf>
    <xf numFmtId="0" fontId="12" fillId="4" borderId="0" xfId="0" applyFont="1" applyFill="1" applyAlignment="1">
      <alignment wrapText="1"/>
    </xf>
    <xf numFmtId="0" fontId="1" fillId="3" borderId="10" xfId="0" applyFont="1" applyFill="1" applyBorder="1" applyAlignment="1">
      <alignment wrapText="1"/>
    </xf>
    <xf numFmtId="0" fontId="8" fillId="3" borderId="0" xfId="1" applyFont="1" applyFill="1" applyBorder="1" applyAlignment="1">
      <alignment wrapText="1"/>
    </xf>
    <xf numFmtId="0" fontId="1" fillId="3" borderId="11" xfId="0" applyFont="1" applyFill="1" applyBorder="1" applyAlignment="1">
      <alignment wrapText="1"/>
    </xf>
    <xf numFmtId="0" fontId="1" fillId="0" borderId="0" xfId="0" applyFont="1" applyAlignment="1">
      <alignment wrapText="1"/>
    </xf>
    <xf numFmtId="0" fontId="13" fillId="4" borderId="0" xfId="0" applyFont="1" applyFill="1" applyAlignment="1">
      <alignment wrapText="1"/>
    </xf>
    <xf numFmtId="0" fontId="13" fillId="4" borderId="0" xfId="0" applyFont="1" applyFill="1" applyAlignment="1">
      <alignment vertical="top" wrapText="1"/>
    </xf>
    <xf numFmtId="0" fontId="13" fillId="4" borderId="0" xfId="0" applyFont="1" applyFill="1" applyAlignment="1">
      <alignment horizontal="left" vertical="top" wrapText="1"/>
    </xf>
    <xf numFmtId="0" fontId="4" fillId="3" borderId="0" xfId="0" applyFont="1" applyFill="1" applyAlignment="1">
      <alignment wrapText="1"/>
    </xf>
    <xf numFmtId="0" fontId="15" fillId="3" borderId="0" xfId="0" applyFont="1" applyFill="1" applyAlignment="1">
      <alignment vertical="top" wrapText="1"/>
    </xf>
    <xf numFmtId="0" fontId="23" fillId="3" borderId="0" xfId="0" applyFont="1" applyFill="1" applyAlignment="1">
      <alignment wrapText="1"/>
    </xf>
    <xf numFmtId="0" fontId="20" fillId="3" borderId="0" xfId="0" applyFont="1" applyFill="1" applyAlignment="1">
      <alignment wrapText="1"/>
    </xf>
    <xf numFmtId="0" fontId="19" fillId="3" borderId="0" xfId="0" applyFont="1" applyFill="1" applyAlignment="1">
      <alignment vertical="top" wrapText="1"/>
    </xf>
    <xf numFmtId="0" fontId="6" fillId="3" borderId="0" xfId="0" applyFont="1" applyFill="1" applyAlignment="1">
      <alignment wrapText="1"/>
    </xf>
    <xf numFmtId="0" fontId="13" fillId="3" borderId="11" xfId="0" applyFont="1" applyFill="1" applyBorder="1" applyAlignment="1">
      <alignment wrapText="1"/>
    </xf>
    <xf numFmtId="0" fontId="13" fillId="3" borderId="11" xfId="0" applyFont="1" applyFill="1" applyBorder="1" applyAlignment="1">
      <alignment vertical="top" wrapText="1"/>
    </xf>
    <xf numFmtId="0" fontId="13" fillId="3" borderId="11" xfId="0" applyFont="1" applyFill="1" applyBorder="1" applyAlignment="1">
      <alignment horizontal="left" vertical="top" wrapText="1"/>
    </xf>
    <xf numFmtId="0" fontId="13" fillId="3" borderId="16" xfId="0" applyFont="1" applyFill="1" applyBorder="1" applyAlignment="1">
      <alignment vertical="top" wrapText="1"/>
    </xf>
    <xf numFmtId="0" fontId="24" fillId="3" borderId="10" xfId="0" applyFont="1" applyFill="1" applyBorder="1" applyAlignment="1">
      <alignment horizontal="center" vertical="top"/>
    </xf>
    <xf numFmtId="164" fontId="25" fillId="3" borderId="21" xfId="0" applyNumberFormat="1" applyFont="1" applyFill="1" applyBorder="1" applyAlignment="1">
      <alignment horizontal="center" vertical="center"/>
    </xf>
    <xf numFmtId="164" fontId="25" fillId="3" borderId="14" xfId="0" applyNumberFormat="1" applyFont="1" applyFill="1" applyBorder="1" applyAlignment="1">
      <alignment horizontal="center" vertical="center"/>
    </xf>
    <xf numFmtId="164" fontId="25" fillId="3" borderId="0" xfId="0" applyNumberFormat="1" applyFont="1" applyFill="1" applyAlignment="1">
      <alignment horizontal="center" vertical="center"/>
    </xf>
    <xf numFmtId="164" fontId="25" fillId="3" borderId="15" xfId="0" applyNumberFormat="1" applyFont="1" applyFill="1" applyBorder="1" applyAlignment="1">
      <alignment horizontal="center" vertical="center"/>
    </xf>
    <xf numFmtId="0" fontId="26" fillId="4" borderId="0" xfId="0" applyFont="1" applyFill="1"/>
    <xf numFmtId="0" fontId="20" fillId="3" borderId="16" xfId="0" applyFont="1" applyFill="1" applyBorder="1" applyAlignment="1">
      <alignment horizontal="right"/>
    </xf>
    <xf numFmtId="0" fontId="19" fillId="3" borderId="16" xfId="0" applyFont="1" applyFill="1" applyBorder="1" applyAlignment="1">
      <alignment horizontal="center" vertical="top" wrapText="1"/>
    </xf>
    <xf numFmtId="0" fontId="19" fillId="5" borderId="17" xfId="0" applyFont="1" applyFill="1" applyBorder="1" applyAlignment="1">
      <alignment horizontal="center" vertical="top" wrapText="1"/>
    </xf>
    <xf numFmtId="0" fontId="19" fillId="3" borderId="18" xfId="0" applyFont="1" applyFill="1" applyBorder="1" applyAlignment="1">
      <alignment horizontal="center" vertical="top" wrapText="1"/>
    </xf>
    <xf numFmtId="0" fontId="19" fillId="5" borderId="18" xfId="0" applyFont="1" applyFill="1" applyBorder="1" applyAlignment="1">
      <alignment horizontal="center" vertical="top" wrapText="1"/>
    </xf>
    <xf numFmtId="0" fontId="20" fillId="3" borderId="16" xfId="0" applyFont="1" applyFill="1" applyBorder="1" applyAlignment="1">
      <alignment horizontal="left"/>
    </xf>
    <xf numFmtId="0" fontId="17" fillId="4" borderId="10" xfId="0" applyFont="1" applyFill="1" applyBorder="1" applyAlignment="1">
      <alignment horizontal="center" vertical="center"/>
    </xf>
    <xf numFmtId="0" fontId="17" fillId="4" borderId="0" xfId="0" applyFont="1" applyFill="1" applyAlignment="1">
      <alignment horizontal="center" vertical="center"/>
    </xf>
    <xf numFmtId="0" fontId="17" fillId="4" borderId="11" xfId="0" applyFont="1" applyFill="1" applyBorder="1" applyAlignment="1">
      <alignment horizontal="center" vertical="center"/>
    </xf>
    <xf numFmtId="0" fontId="16" fillId="3" borderId="0" xfId="0" applyFont="1" applyFill="1" applyAlignment="1">
      <alignment wrapText="1"/>
    </xf>
    <xf numFmtId="0" fontId="19" fillId="3" borderId="18" xfId="0" applyFont="1" applyFill="1" applyBorder="1" applyAlignment="1">
      <alignment wrapText="1"/>
    </xf>
    <xf numFmtId="0" fontId="9" fillId="7" borderId="18" xfId="0" applyFont="1" applyFill="1" applyBorder="1" applyAlignment="1" applyProtection="1">
      <alignment horizontal="center" vertical="center"/>
      <protection locked="0"/>
    </xf>
    <xf numFmtId="0" fontId="12" fillId="3" borderId="9" xfId="0" applyFont="1" applyFill="1" applyBorder="1"/>
    <xf numFmtId="0" fontId="12" fillId="3" borderId="11" xfId="0" applyFont="1" applyFill="1" applyBorder="1"/>
    <xf numFmtId="0" fontId="12" fillId="3" borderId="23" xfId="0" applyFont="1" applyFill="1" applyBorder="1"/>
    <xf numFmtId="0" fontId="13" fillId="0" borderId="24" xfId="0" applyFont="1" applyBorder="1"/>
    <xf numFmtId="0" fontId="13" fillId="0" borderId="17" xfId="0" applyFont="1" applyBorder="1"/>
    <xf numFmtId="0" fontId="13" fillId="0" borderId="25" xfId="0" applyFont="1" applyBorder="1"/>
    <xf numFmtId="0" fontId="8" fillId="3" borderId="0" xfId="1" applyFont="1" applyFill="1" applyBorder="1" applyAlignment="1">
      <alignment horizontal="left"/>
    </xf>
    <xf numFmtId="0" fontId="8" fillId="3" borderId="0" xfId="1" applyFont="1" applyFill="1" applyBorder="1"/>
    <xf numFmtId="0" fontId="13" fillId="4" borderId="10" xfId="0" applyFont="1" applyFill="1" applyBorder="1" applyAlignment="1">
      <alignment horizontal="center" textRotation="90"/>
    </xf>
    <xf numFmtId="0" fontId="13" fillId="4" borderId="0" xfId="0" applyFont="1" applyFill="1" applyAlignment="1">
      <alignment horizontal="center" textRotation="90"/>
    </xf>
    <xf numFmtId="0" fontId="13" fillId="4" borderId="11" xfId="0" applyFont="1" applyFill="1" applyBorder="1" applyAlignment="1">
      <alignment horizontal="center" textRotation="90"/>
    </xf>
    <xf numFmtId="0" fontId="6" fillId="3" borderId="0" xfId="0" applyFont="1" applyFill="1" applyAlignment="1">
      <alignment horizontal="center"/>
    </xf>
    <xf numFmtId="0" fontId="20" fillId="3" borderId="0" xfId="0" applyFont="1" applyFill="1" applyAlignment="1">
      <alignment horizontal="center"/>
    </xf>
    <xf numFmtId="0" fontId="27" fillId="3" borderId="20" xfId="1" applyFont="1" applyFill="1" applyBorder="1" applyAlignment="1">
      <alignment horizontal="left"/>
    </xf>
    <xf numFmtId="0" fontId="1" fillId="3" borderId="3" xfId="0" applyFont="1" applyFill="1" applyBorder="1"/>
    <xf numFmtId="0" fontId="2" fillId="2" borderId="21" xfId="0" applyFont="1" applyFill="1" applyBorder="1" applyAlignment="1">
      <alignment horizontal="center" vertical="center" wrapText="1"/>
    </xf>
    <xf numFmtId="49" fontId="9" fillId="6" borderId="16" xfId="0" applyNumberFormat="1" applyFont="1" applyFill="1" applyBorder="1" applyAlignment="1" applyProtection="1">
      <alignment horizontal="center" vertical="center"/>
      <protection locked="0"/>
    </xf>
    <xf numFmtId="0" fontId="27" fillId="3" borderId="20" xfId="1" applyFont="1" applyFill="1" applyBorder="1" applyAlignment="1">
      <alignment horizontal="left"/>
    </xf>
    <xf numFmtId="0" fontId="8" fillId="3" borderId="0" xfId="1" applyFont="1" applyFill="1" applyBorder="1" applyAlignment="1">
      <alignment horizontal="left"/>
    </xf>
    <xf numFmtId="0" fontId="8" fillId="3" borderId="0" xfId="1" applyFont="1" applyFill="1" applyBorder="1"/>
    <xf numFmtId="0" fontId="2" fillId="2" borderId="1"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7" fillId="3" borderId="0" xfId="0" applyFont="1" applyFill="1" applyAlignment="1">
      <alignment horizontal="center"/>
    </xf>
    <xf numFmtId="0" fontId="15" fillId="3" borderId="12" xfId="0" applyFont="1" applyFill="1" applyBorder="1" applyAlignment="1">
      <alignment horizontal="left" vertical="top" wrapText="1"/>
    </xf>
    <xf numFmtId="0" fontId="15" fillId="3" borderId="0" xfId="0" applyFont="1" applyFill="1" applyAlignment="1">
      <alignment horizontal="left" vertical="top" wrapText="1"/>
    </xf>
    <xf numFmtId="0" fontId="15" fillId="3" borderId="13" xfId="0" applyFont="1" applyFill="1" applyBorder="1" applyAlignment="1">
      <alignment horizontal="left" vertical="top" wrapText="1"/>
    </xf>
    <xf numFmtId="0" fontId="13" fillId="3" borderId="6" xfId="0" applyFont="1" applyFill="1" applyBorder="1" applyAlignment="1">
      <alignment horizontal="left" vertical="top" wrapText="1"/>
    </xf>
    <xf numFmtId="0" fontId="13" fillId="3" borderId="19" xfId="0" applyFont="1" applyFill="1" applyBorder="1" applyAlignment="1">
      <alignment horizontal="left" vertical="top" wrapText="1"/>
    </xf>
    <xf numFmtId="0" fontId="13" fillId="3" borderId="7" xfId="0" applyFont="1" applyFill="1" applyBorder="1" applyAlignment="1">
      <alignment horizontal="left" vertical="top" wrapText="1"/>
    </xf>
    <xf numFmtId="0" fontId="13" fillId="3" borderId="12"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13" xfId="0" applyFont="1" applyFill="1" applyBorder="1" applyAlignment="1">
      <alignment horizontal="left" vertical="top" wrapText="1"/>
    </xf>
    <xf numFmtId="0" fontId="14" fillId="3" borderId="12" xfId="0" applyFont="1" applyFill="1" applyBorder="1" applyAlignment="1">
      <alignment horizontal="left" vertical="center" wrapText="1"/>
    </xf>
    <xf numFmtId="0" fontId="14" fillId="3" borderId="0" xfId="0" applyFont="1" applyFill="1" applyAlignment="1">
      <alignment horizontal="left" vertical="center" wrapText="1"/>
    </xf>
    <xf numFmtId="0" fontId="14" fillId="3" borderId="13" xfId="0" applyFont="1" applyFill="1" applyBorder="1" applyAlignment="1">
      <alignment horizontal="left" vertical="center" wrapText="1"/>
    </xf>
    <xf numFmtId="0" fontId="28" fillId="4" borderId="0" xfId="1" applyFont="1" applyFill="1" applyAlignment="1">
      <alignment horizontal="right"/>
    </xf>
    <xf numFmtId="0" fontId="28" fillId="3" borderId="16" xfId="1" applyFont="1" applyFill="1" applyBorder="1" applyAlignment="1">
      <alignment horizontal="right"/>
    </xf>
    <xf numFmtId="0" fontId="7" fillId="3" borderId="16" xfId="0" applyFont="1" applyFill="1" applyBorder="1" applyAlignment="1">
      <alignment horizontal="center"/>
    </xf>
    <xf numFmtId="0" fontId="14" fillId="3" borderId="14"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0" fontId="4" fillId="4" borderId="11" xfId="0" applyFont="1" applyFill="1" applyBorder="1" applyAlignment="1">
      <alignment horizontal="center"/>
    </xf>
    <xf numFmtId="0" fontId="13" fillId="3" borderId="0" xfId="0" applyFont="1" applyFill="1" applyAlignment="1">
      <alignment horizontal="left" wrapText="1"/>
    </xf>
    <xf numFmtId="1" fontId="14" fillId="3" borderId="0" xfId="0" applyNumberFormat="1" applyFont="1" applyFill="1" applyAlignment="1">
      <alignment horizontal="left" vertical="center" wrapText="1"/>
    </xf>
    <xf numFmtId="1" fontId="14" fillId="3" borderId="14" xfId="0" applyNumberFormat="1"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mruColors>
      <color rgb="FF7667B5"/>
      <color rgb="FFF5DB70"/>
      <color rgb="FFFAEC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314672775575552"/>
          <c:y val="7.0467502850627218E-3"/>
          <c:w val="0.67767941421640654"/>
          <c:h val="0.78056837471115847"/>
        </c:manualLayout>
      </c:layout>
      <c:barChart>
        <c:barDir val="bar"/>
        <c:grouping val="clustered"/>
        <c:varyColors val="0"/>
        <c:ser>
          <c:idx val="0"/>
          <c:order val="0"/>
          <c:tx>
            <c:strRef>
              <c:f>scoring_table!$B$1</c:f>
              <c:strCache>
                <c:ptCount val="1"/>
                <c:pt idx="0">
                  <c:v>Technical Capacity</c:v>
                </c:pt>
              </c:strCache>
            </c:strRef>
          </c:tx>
          <c:spPr>
            <a:solidFill>
              <a:schemeClr val="accent1"/>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scoring_table!$B$2:$B$7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80-4949-A657-B19BF0778B12}"/>
            </c:ext>
          </c:extLst>
        </c:ser>
        <c:ser>
          <c:idx val="1"/>
          <c:order val="1"/>
          <c:tx>
            <c:strRef>
              <c:f>scoring_table!$C$1</c:f>
              <c:strCache>
                <c:ptCount val="1"/>
                <c:pt idx="0">
                  <c:v>Data Integration</c:v>
                </c:pt>
              </c:strCache>
            </c:strRef>
          </c:tx>
          <c:spPr>
            <a:solidFill>
              <a:schemeClr val="accent2"/>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scoring_table!$C$2:$C$7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2F80-4949-A657-B19BF0778B12}"/>
            </c:ext>
          </c:extLst>
        </c:ser>
        <c:ser>
          <c:idx val="2"/>
          <c:order val="2"/>
          <c:tx>
            <c:strRef>
              <c:f>scoring_table!$D$1</c:f>
              <c:strCache>
                <c:ptCount val="1"/>
                <c:pt idx="0">
                  <c:v>Internal Processes</c:v>
                </c:pt>
              </c:strCache>
            </c:strRef>
          </c:tx>
          <c:spPr>
            <a:solidFill>
              <a:schemeClr val="accent3"/>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scoring_table!$D$2:$D$7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2F80-4949-A657-B19BF0778B12}"/>
            </c:ext>
          </c:extLst>
        </c:ser>
        <c:ser>
          <c:idx val="3"/>
          <c:order val="3"/>
          <c:tx>
            <c:strRef>
              <c:f>scoring_table!$E$1</c:f>
              <c:strCache>
                <c:ptCount val="1"/>
                <c:pt idx="0">
                  <c:v>Participation and Empowerment</c:v>
                </c:pt>
              </c:strCache>
            </c:strRef>
          </c:tx>
          <c:spPr>
            <a:solidFill>
              <a:schemeClr val="accent4"/>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scoring_table!$E$2:$E$7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2F80-4949-A657-B19BF0778B12}"/>
            </c:ext>
          </c:extLst>
        </c:ser>
        <c:ser>
          <c:idx val="4"/>
          <c:order val="4"/>
          <c:tx>
            <c:strRef>
              <c:f>scoring_table!$F$1</c:f>
              <c:strCache>
                <c:ptCount val="1"/>
                <c:pt idx="0">
                  <c:v>Distributional Equity</c:v>
                </c:pt>
              </c:strCache>
            </c:strRef>
          </c:tx>
          <c:spPr>
            <a:solidFill>
              <a:schemeClr val="accent5"/>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scoring_table!$F$2:$F$7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2F80-4949-A657-B19BF0778B12}"/>
            </c:ext>
          </c:extLst>
        </c:ser>
        <c:ser>
          <c:idx val="5"/>
          <c:order val="5"/>
          <c:tx>
            <c:strRef>
              <c:f>scoring_table!$G$1</c:f>
              <c:strCache>
                <c:ptCount val="1"/>
                <c:pt idx="0">
                  <c:v>Socioeconomic Resilience and Opportunity</c:v>
                </c:pt>
              </c:strCache>
            </c:strRef>
          </c:tx>
          <c:spPr>
            <a:solidFill>
              <a:schemeClr val="accent6"/>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scoring_table!$G$2:$G$7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2F80-4949-A657-B19BF0778B12}"/>
            </c:ext>
          </c:extLst>
        </c:ser>
        <c:ser>
          <c:idx val="6"/>
          <c:order val="6"/>
          <c:tx>
            <c:strRef>
              <c:f>scoring_table!$H$1</c:f>
              <c:strCache>
                <c:ptCount val="1"/>
                <c:pt idx="0">
                  <c:v>Access and Inclusivity</c:v>
                </c:pt>
              </c:strCache>
            </c:strRef>
          </c:tx>
          <c:spPr>
            <a:solidFill>
              <a:schemeClr val="accent1">
                <a:lumMod val="60000"/>
              </a:schemeClr>
            </a:solidFill>
            <a:ln>
              <a:noFill/>
            </a:ln>
            <a:effectLst/>
          </c:spPr>
          <c:invertIfNegative val="0"/>
          <c:cat>
            <c:strRef>
              <c:f>scoring_table!$A$2:$A$7</c:f>
              <c:strCache>
                <c:ptCount val="6"/>
                <c:pt idx="0">
                  <c:v>Data-sharing partnerships &amp; management tools</c:v>
                </c:pt>
                <c:pt idx="1">
                  <c:v>City/institutional buy-in, capacity building &amp; training</c:v>
                </c:pt>
                <c:pt idx="2">
                  <c:v>Public support &amp; engagement</c:v>
                </c:pt>
                <c:pt idx="3">
                  <c:v>Health &amp; economic impact modelling</c:v>
                </c:pt>
                <c:pt idx="4">
                  <c:v>Estimating air pollution</c:v>
                </c:pt>
                <c:pt idx="5">
                  <c:v>Source &amp; emission inventories</c:v>
                </c:pt>
              </c:strCache>
            </c:strRef>
          </c:cat>
          <c:val>
            <c:numRef>
              <c:f>scoring_table!$H$2:$H$7</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6-2F80-4949-A657-B19BF0778B12}"/>
            </c:ext>
          </c:extLst>
        </c:ser>
        <c:dLbls>
          <c:showLegendKey val="0"/>
          <c:showVal val="0"/>
          <c:showCatName val="0"/>
          <c:showSerName val="0"/>
          <c:showPercent val="0"/>
          <c:showBubbleSize val="0"/>
        </c:dLbls>
        <c:gapWidth val="150"/>
        <c:axId val="279784512"/>
        <c:axId val="272557664"/>
      </c:barChart>
      <c:catAx>
        <c:axId val="27978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Figtree" pitchFamily="2" charset="0"/>
                <a:ea typeface="+mn-ea"/>
                <a:cs typeface="+mn-cs"/>
              </a:defRPr>
            </a:pPr>
            <a:endParaRPr lang="en-US"/>
          </a:p>
        </c:txPr>
        <c:crossAx val="272557664"/>
        <c:crosses val="autoZero"/>
        <c:auto val="1"/>
        <c:lblAlgn val="ctr"/>
        <c:lblOffset val="100"/>
        <c:noMultiLvlLbl val="0"/>
      </c:catAx>
      <c:valAx>
        <c:axId val="272557664"/>
        <c:scaling>
          <c:orientation val="minMax"/>
          <c:max val="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crossAx val="279784512"/>
        <c:crosses val="autoZero"/>
        <c:crossBetween val="between"/>
      </c:valAx>
      <c:spPr>
        <a:noFill/>
        <a:ln>
          <a:noFill/>
        </a:ln>
        <a:effectLst/>
      </c:spPr>
    </c:plotArea>
    <c:legend>
      <c:legendPos val="b"/>
      <c:layout>
        <c:manualLayout>
          <c:xMode val="edge"/>
          <c:yMode val="edge"/>
          <c:x val="7.2939673492451512E-3"/>
          <c:y val="0.84739756391040932"/>
          <c:w val="0.99150481856180772"/>
          <c:h val="0.151043465411327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Figtree"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a:latin typeface="Figtree"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106734</xdr:colOff>
      <xdr:row>0</xdr:row>
      <xdr:rowOff>175523</xdr:rowOff>
    </xdr:from>
    <xdr:to>
      <xdr:col>19</xdr:col>
      <xdr:colOff>67658</xdr:colOff>
      <xdr:row>2</xdr:row>
      <xdr:rowOff>849600</xdr:rowOff>
    </xdr:to>
    <xdr:sp macro="" textlink="">
      <xdr:nvSpPr>
        <xdr:cNvPr id="3" name="TextBox 2">
          <a:extLst>
            <a:ext uri="{FF2B5EF4-FFF2-40B4-BE49-F238E27FC236}">
              <a16:creationId xmlns:a16="http://schemas.microsoft.com/office/drawing/2014/main" id="{AB6FD9C8-1130-C2EE-F746-2426D36E848E}"/>
            </a:ext>
          </a:extLst>
        </xdr:cNvPr>
        <xdr:cNvSpPr txBox="1"/>
      </xdr:nvSpPr>
      <xdr:spPr>
        <a:xfrm>
          <a:off x="8094089" y="175523"/>
          <a:ext cx="3109685" cy="105192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xdr:from>
      <xdr:col>7</xdr:col>
      <xdr:colOff>126273</xdr:colOff>
      <xdr:row>19</xdr:row>
      <xdr:rowOff>114163</xdr:rowOff>
    </xdr:from>
    <xdr:to>
      <xdr:col>19</xdr:col>
      <xdr:colOff>87197</xdr:colOff>
      <xdr:row>26</xdr:row>
      <xdr:rowOff>94463</xdr:rowOff>
    </xdr:to>
    <xdr:sp macro="" textlink="">
      <xdr:nvSpPr>
        <xdr:cNvPr id="4" name="TextBox 3">
          <a:extLst>
            <a:ext uri="{FF2B5EF4-FFF2-40B4-BE49-F238E27FC236}">
              <a16:creationId xmlns:a16="http://schemas.microsoft.com/office/drawing/2014/main" id="{A67AD3F9-9E53-DB4F-8E99-58FDF01BC0C1}"/>
            </a:ext>
          </a:extLst>
        </xdr:cNvPr>
        <xdr:cNvSpPr txBox="1"/>
      </xdr:nvSpPr>
      <xdr:spPr>
        <a:xfrm>
          <a:off x="8113628" y="13443915"/>
          <a:ext cx="3109685" cy="1061374"/>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latin typeface="Figtree" pitchFamily="2" charset="0"/>
            </a:rPr>
            <a:t>These columns are used for </a:t>
          </a:r>
          <a:br>
            <a:rPr lang="en-US" sz="1100" i="1">
              <a:latin typeface="Figtree" pitchFamily="2" charset="0"/>
            </a:rPr>
          </a:br>
          <a:r>
            <a:rPr lang="en-US" sz="1100" i="1">
              <a:latin typeface="Figtree" pitchFamily="2" charset="0"/>
            </a:rPr>
            <a:t>scoring purposes</a:t>
          </a:r>
          <a:r>
            <a:rPr lang="en-US" sz="1100" i="1" baseline="0">
              <a:latin typeface="Figtree" pitchFamily="2" charset="0"/>
            </a:rPr>
            <a:t> only, </a:t>
          </a:r>
          <a:br>
            <a:rPr lang="en-US" sz="1100" i="1" baseline="0">
              <a:latin typeface="Figtree" pitchFamily="2" charset="0"/>
            </a:rPr>
          </a:br>
          <a:r>
            <a:rPr lang="en-US" sz="1100" i="1" baseline="0">
              <a:latin typeface="Figtree" pitchFamily="2" charset="0"/>
            </a:rPr>
            <a:t>do not edit.</a:t>
          </a:r>
        </a:p>
      </xdr:txBody>
    </xdr:sp>
    <xdr:clientData/>
  </xdr:twoCellAnchor>
  <xdr:twoCellAnchor editAs="oneCell">
    <xdr:from>
      <xdr:col>2</xdr:col>
      <xdr:colOff>2117696</xdr:colOff>
      <xdr:row>4</xdr:row>
      <xdr:rowOff>106145</xdr:rowOff>
    </xdr:from>
    <xdr:to>
      <xdr:col>4</xdr:col>
      <xdr:colOff>1129849</xdr:colOff>
      <xdr:row>4</xdr:row>
      <xdr:rowOff>3144759</xdr:rowOff>
    </xdr:to>
    <xdr:pic>
      <xdr:nvPicPr>
        <xdr:cNvPr id="5" name="Picture 4">
          <a:extLst>
            <a:ext uri="{FF2B5EF4-FFF2-40B4-BE49-F238E27FC236}">
              <a16:creationId xmlns:a16="http://schemas.microsoft.com/office/drawing/2014/main" id="{59EF3CD3-952C-F67C-6910-08237B7208EC}"/>
            </a:ext>
          </a:extLst>
        </xdr:cNvPr>
        <xdr:cNvPicPr>
          <a:picLocks noChangeAspect="1"/>
        </xdr:cNvPicPr>
      </xdr:nvPicPr>
      <xdr:blipFill>
        <a:blip xmlns:r="http://schemas.openxmlformats.org/officeDocument/2006/relationships" r:embed="rId1"/>
        <a:stretch>
          <a:fillRect/>
        </a:stretch>
      </xdr:blipFill>
      <xdr:spPr>
        <a:xfrm>
          <a:off x="2498696" y="1655545"/>
          <a:ext cx="5489153" cy="30386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25400</xdr:rowOff>
    </xdr:from>
    <xdr:to>
      <xdr:col>5</xdr:col>
      <xdr:colOff>1574800</xdr:colOff>
      <xdr:row>5</xdr:row>
      <xdr:rowOff>4762500</xdr:rowOff>
    </xdr:to>
    <xdr:graphicFrame macro="">
      <xdr:nvGraphicFramePr>
        <xdr:cNvPr id="3" name="Chart 2">
          <a:extLst>
            <a:ext uri="{FF2B5EF4-FFF2-40B4-BE49-F238E27FC236}">
              <a16:creationId xmlns:a16="http://schemas.microsoft.com/office/drawing/2014/main" id="{FEB9DF1E-12E8-4941-BE67-24EAFA93C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469581</xdr:colOff>
      <xdr:row>5</xdr:row>
      <xdr:rowOff>53362</xdr:rowOff>
    </xdr:from>
    <xdr:to>
      <xdr:col>4</xdr:col>
      <xdr:colOff>3030925</xdr:colOff>
      <xdr:row>6</xdr:row>
      <xdr:rowOff>2924202</xdr:rowOff>
    </xdr:to>
    <xdr:pic>
      <xdr:nvPicPr>
        <xdr:cNvPr id="6" name="Picture 5">
          <a:extLst>
            <a:ext uri="{FF2B5EF4-FFF2-40B4-BE49-F238E27FC236}">
              <a16:creationId xmlns:a16="http://schemas.microsoft.com/office/drawing/2014/main" id="{5076ACCA-E58F-F0C7-8227-A2398157DB07}"/>
            </a:ext>
          </a:extLst>
        </xdr:cNvPr>
        <xdr:cNvPicPr>
          <a:picLocks noChangeAspect="1"/>
        </xdr:cNvPicPr>
      </xdr:nvPicPr>
      <xdr:blipFill>
        <a:blip xmlns:r="http://schemas.openxmlformats.org/officeDocument/2006/relationships" r:embed="rId1"/>
        <a:stretch>
          <a:fillRect/>
        </a:stretch>
      </xdr:blipFill>
      <xdr:spPr>
        <a:xfrm>
          <a:off x="4909245" y="1611513"/>
          <a:ext cx="2561344" cy="36178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c40knowledgehub.org/s/article/Clean-air-healthy-and-thriving-communities-Opportunities-for-city-leadership"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0433-33A8-C24D-8B94-69139ED2E967}">
  <dimension ref="A1:T122"/>
  <sheetViews>
    <sheetView tabSelected="1" zoomScaleNormal="100" zoomScaleSheetLayoutView="63" workbookViewId="0"/>
  </sheetViews>
  <sheetFormatPr baseColWidth="10" defaultColWidth="0" defaultRowHeight="16" zeroHeight="1"/>
  <cols>
    <col min="1" max="1" width="2.5" style="4" customWidth="1"/>
    <col min="2" max="2" width="2.5" style="5" customWidth="1"/>
    <col min="3" max="3" width="68.6640625" style="6" customWidth="1"/>
    <col min="4" max="4" width="16.33203125" style="7" customWidth="1"/>
    <col min="5" max="5" width="36.332031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424</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
        <v>425</v>
      </c>
      <c r="B2" s="38"/>
      <c r="C2" s="37"/>
      <c r="D2" s="37"/>
      <c r="E2" s="37"/>
      <c r="F2" s="41"/>
      <c r="H2" s="11"/>
      <c r="I2" s="12"/>
      <c r="J2" s="12"/>
      <c r="K2" s="12"/>
      <c r="L2" s="12"/>
      <c r="M2" s="13"/>
      <c r="N2" s="12"/>
      <c r="O2" s="12"/>
      <c r="P2" s="12"/>
      <c r="Q2" s="13"/>
      <c r="R2" s="12"/>
      <c r="S2" s="12"/>
      <c r="T2" s="13"/>
    </row>
    <row r="3" spans="1:20" ht="73" customHeight="1" thickBot="1">
      <c r="B3" s="39"/>
      <c r="C3" s="145" t="s">
        <v>1</v>
      </c>
      <c r="D3" s="146"/>
      <c r="E3" s="147"/>
      <c r="F3" s="42"/>
      <c r="H3" s="11"/>
      <c r="I3" s="12"/>
      <c r="J3" s="12"/>
      <c r="K3" s="12"/>
      <c r="L3" s="12"/>
      <c r="M3" s="13"/>
      <c r="N3" s="12"/>
      <c r="O3" s="12"/>
      <c r="P3" s="12"/>
      <c r="Q3" s="13"/>
      <c r="R3" s="12"/>
      <c r="S3" s="12"/>
      <c r="T3" s="13"/>
    </row>
    <row r="4" spans="1:20" ht="19">
      <c r="B4" s="39"/>
      <c r="C4" s="148" t="s">
        <v>3</v>
      </c>
      <c r="D4" s="148"/>
      <c r="E4" s="148"/>
      <c r="F4" s="42"/>
      <c r="H4" s="11"/>
      <c r="I4" s="12"/>
      <c r="J4" s="12"/>
      <c r="K4" s="12"/>
      <c r="L4" s="12"/>
      <c r="M4" s="13"/>
      <c r="N4" s="12"/>
      <c r="O4" s="12"/>
      <c r="P4" s="12"/>
      <c r="Q4" s="13"/>
      <c r="R4" s="12"/>
      <c r="S4" s="12"/>
      <c r="T4" s="13"/>
    </row>
    <row r="5" spans="1:20" ht="252" customHeight="1" thickBot="1">
      <c r="B5" s="39"/>
      <c r="C5" s="52"/>
      <c r="D5" s="52"/>
      <c r="E5" s="52"/>
      <c r="F5" s="42"/>
      <c r="H5" s="11"/>
      <c r="I5" s="12"/>
      <c r="J5" s="12"/>
      <c r="K5" s="12"/>
      <c r="L5" s="12"/>
      <c r="M5" s="13"/>
      <c r="N5" s="12"/>
      <c r="O5" s="12"/>
      <c r="P5" s="12"/>
      <c r="Q5" s="13"/>
      <c r="R5" s="12"/>
      <c r="S5" s="12"/>
      <c r="T5" s="13"/>
    </row>
    <row r="6" spans="1:20" ht="21">
      <c r="B6" s="39"/>
      <c r="C6" s="28" t="s">
        <v>2</v>
      </c>
      <c r="D6" s="139"/>
      <c r="E6" s="29"/>
      <c r="F6" s="42"/>
      <c r="H6" s="11"/>
      <c r="I6" s="12"/>
      <c r="J6" s="12"/>
      <c r="K6" s="12"/>
      <c r="L6" s="12"/>
      <c r="M6" s="13"/>
      <c r="N6" s="12"/>
      <c r="O6" s="12"/>
      <c r="P6" s="12"/>
      <c r="Q6" s="13"/>
      <c r="R6" s="12"/>
      <c r="S6" s="12"/>
      <c r="T6" s="13"/>
    </row>
    <row r="7" spans="1:20" ht="140" customHeight="1" thickBot="1">
      <c r="B7" s="39"/>
      <c r="C7" s="152" t="s">
        <v>258</v>
      </c>
      <c r="D7" s="153"/>
      <c r="E7" s="154"/>
      <c r="F7" s="42"/>
      <c r="H7" s="11"/>
      <c r="I7" s="12"/>
      <c r="J7" s="12"/>
      <c r="K7" s="12"/>
      <c r="L7" s="12"/>
      <c r="M7" s="13"/>
      <c r="N7" s="12"/>
      <c r="O7" s="12"/>
      <c r="P7" s="12"/>
      <c r="Q7" s="13"/>
      <c r="R7" s="12"/>
      <c r="S7" s="12"/>
      <c r="T7" s="13"/>
    </row>
    <row r="8" spans="1:20">
      <c r="B8" s="39"/>
      <c r="C8" s="143" t="s">
        <v>259</v>
      </c>
      <c r="D8" s="143"/>
      <c r="E8" s="131"/>
      <c r="F8" s="42"/>
      <c r="H8" s="11"/>
      <c r="I8" s="12"/>
      <c r="J8" s="12"/>
      <c r="K8" s="12"/>
      <c r="L8" s="12"/>
      <c r="M8" s="13"/>
      <c r="N8" s="12"/>
      <c r="O8" s="12"/>
      <c r="P8" s="12"/>
      <c r="Q8" s="13"/>
      <c r="R8" s="12"/>
      <c r="S8" s="12"/>
      <c r="T8" s="13"/>
    </row>
    <row r="9" spans="1:20" ht="17" thickBot="1">
      <c r="B9" s="39"/>
      <c r="C9" s="52"/>
      <c r="D9" s="52"/>
      <c r="E9" s="52"/>
      <c r="F9" s="42"/>
      <c r="H9" s="11"/>
      <c r="I9" s="12"/>
      <c r="J9" s="12"/>
      <c r="K9" s="12"/>
      <c r="L9" s="12"/>
      <c r="M9" s="13"/>
      <c r="N9" s="12"/>
      <c r="O9" s="12"/>
      <c r="P9" s="12"/>
      <c r="Q9" s="13"/>
      <c r="R9" s="12"/>
      <c r="S9" s="12"/>
      <c r="T9" s="13"/>
    </row>
    <row r="10" spans="1:20" ht="21">
      <c r="B10" s="39"/>
      <c r="C10" s="28" t="s">
        <v>4</v>
      </c>
      <c r="D10" s="139"/>
      <c r="E10" s="29"/>
      <c r="F10" s="42"/>
      <c r="H10" s="11"/>
      <c r="I10" s="12"/>
      <c r="J10" s="12"/>
      <c r="K10" s="12"/>
      <c r="L10" s="12"/>
      <c r="M10" s="13"/>
      <c r="N10" s="12"/>
      <c r="O10" s="12"/>
      <c r="P10" s="12"/>
      <c r="Q10" s="13"/>
      <c r="R10" s="12"/>
      <c r="S10" s="12"/>
      <c r="T10" s="13"/>
    </row>
    <row r="11" spans="1:20" ht="115" customHeight="1">
      <c r="B11" s="39"/>
      <c r="C11" s="155" t="s">
        <v>318</v>
      </c>
      <c r="D11" s="156"/>
      <c r="E11" s="157"/>
      <c r="F11" s="42"/>
      <c r="H11" s="11"/>
      <c r="I11" s="12"/>
      <c r="J11" s="12"/>
      <c r="K11" s="12"/>
      <c r="L11" s="12"/>
      <c r="M11" s="13"/>
      <c r="N11" s="12"/>
      <c r="O11" s="12"/>
      <c r="P11" s="12"/>
      <c r="Q11" s="13"/>
      <c r="R11" s="12"/>
      <c r="S11" s="12"/>
      <c r="T11" s="13"/>
    </row>
    <row r="12" spans="1:20" ht="37" customHeight="1">
      <c r="B12" s="39"/>
      <c r="C12" s="158" t="s">
        <v>13</v>
      </c>
      <c r="D12" s="159"/>
      <c r="E12" s="160"/>
      <c r="F12" s="42"/>
      <c r="H12" s="11"/>
      <c r="I12" s="12"/>
      <c r="J12" s="12"/>
      <c r="K12" s="12"/>
      <c r="L12" s="12"/>
      <c r="M12" s="13"/>
      <c r="N12" s="12"/>
      <c r="O12" s="12"/>
      <c r="P12" s="12"/>
      <c r="Q12" s="13"/>
      <c r="R12" s="12"/>
      <c r="S12" s="12"/>
      <c r="T12" s="13"/>
    </row>
    <row r="13" spans="1:20" ht="21" customHeight="1">
      <c r="B13" s="39"/>
      <c r="C13" s="149" t="s">
        <v>10</v>
      </c>
      <c r="D13" s="150"/>
      <c r="E13" s="151"/>
      <c r="F13" s="42"/>
      <c r="H13" s="11"/>
      <c r="I13" s="12"/>
      <c r="J13" s="12"/>
      <c r="K13" s="12"/>
      <c r="L13" s="12"/>
      <c r="M13" s="13"/>
      <c r="N13" s="12"/>
      <c r="O13" s="12"/>
      <c r="P13" s="12"/>
      <c r="Q13" s="13"/>
      <c r="R13" s="12"/>
      <c r="S13" s="12"/>
      <c r="T13" s="13"/>
    </row>
    <row r="14" spans="1:20" ht="34" customHeight="1">
      <c r="B14" s="39"/>
      <c r="C14" s="149" t="s">
        <v>11</v>
      </c>
      <c r="D14" s="150"/>
      <c r="E14" s="151"/>
      <c r="F14" s="42"/>
      <c r="H14" s="11"/>
      <c r="I14" s="12"/>
      <c r="J14" s="12"/>
      <c r="K14" s="12"/>
      <c r="L14" s="12"/>
      <c r="M14" s="13"/>
      <c r="N14" s="12"/>
      <c r="O14" s="12"/>
      <c r="P14" s="12"/>
      <c r="Q14" s="13"/>
      <c r="R14" s="12"/>
      <c r="S14" s="12"/>
      <c r="T14" s="13"/>
    </row>
    <row r="15" spans="1:20" ht="34" customHeight="1">
      <c r="B15" s="39"/>
      <c r="C15" s="149" t="s">
        <v>12</v>
      </c>
      <c r="D15" s="150"/>
      <c r="E15" s="151"/>
      <c r="F15" s="42"/>
      <c r="H15" s="11"/>
      <c r="I15" s="12"/>
      <c r="J15" s="12"/>
      <c r="K15" s="12"/>
      <c r="L15" s="12"/>
      <c r="M15" s="13"/>
      <c r="N15" s="12"/>
      <c r="O15" s="12"/>
      <c r="P15" s="12"/>
      <c r="Q15" s="13"/>
      <c r="R15" s="12"/>
      <c r="S15" s="12"/>
      <c r="T15" s="13"/>
    </row>
    <row r="16" spans="1:20" ht="34" customHeight="1">
      <c r="B16" s="39"/>
      <c r="C16" s="149" t="s">
        <v>257</v>
      </c>
      <c r="D16" s="150"/>
      <c r="E16" s="151"/>
      <c r="F16" s="42"/>
      <c r="H16" s="11"/>
      <c r="I16" s="12"/>
      <c r="J16" s="12"/>
      <c r="K16" s="12"/>
      <c r="L16" s="12"/>
      <c r="M16" s="13"/>
      <c r="N16" s="12"/>
      <c r="O16" s="12"/>
      <c r="P16" s="12"/>
      <c r="Q16" s="13"/>
      <c r="R16" s="12"/>
      <c r="S16" s="12"/>
      <c r="T16" s="13"/>
    </row>
    <row r="17" spans="2:20" ht="32" customHeight="1" thickBot="1">
      <c r="B17" s="39"/>
      <c r="C17" s="152" t="s">
        <v>357</v>
      </c>
      <c r="D17" s="153"/>
      <c r="E17" s="154"/>
      <c r="F17" s="42"/>
      <c r="H17" s="11"/>
      <c r="I17" s="12"/>
      <c r="J17" s="12"/>
      <c r="K17" s="12"/>
      <c r="L17" s="12"/>
      <c r="M17" s="13"/>
      <c r="N17" s="12"/>
      <c r="O17" s="12"/>
      <c r="P17" s="12"/>
      <c r="Q17" s="13"/>
      <c r="R17" s="12"/>
      <c r="S17" s="12"/>
      <c r="T17" s="13"/>
    </row>
    <row r="18" spans="2:20">
      <c r="B18" s="39"/>
      <c r="C18" s="144" t="s">
        <v>260</v>
      </c>
      <c r="D18" s="144"/>
      <c r="E18" s="132"/>
      <c r="F18" s="42"/>
      <c r="H18" s="11"/>
      <c r="I18" s="12"/>
      <c r="J18" s="12"/>
      <c r="K18" s="12"/>
      <c r="L18" s="12"/>
      <c r="M18" s="13"/>
      <c r="N18" s="12"/>
      <c r="O18" s="12"/>
      <c r="P18" s="12"/>
      <c r="Q18" s="13"/>
      <c r="R18" s="12"/>
      <c r="S18" s="12"/>
      <c r="T18" s="13"/>
    </row>
    <row r="19" spans="2:20">
      <c r="B19" s="39"/>
      <c r="C19" s="143"/>
      <c r="D19" s="143"/>
      <c r="E19" s="131"/>
      <c r="F19" s="42"/>
      <c r="H19" s="11"/>
      <c r="I19" s="12"/>
      <c r="J19" s="12"/>
      <c r="K19" s="12"/>
      <c r="L19" s="12"/>
      <c r="M19" s="13"/>
      <c r="N19" s="12"/>
      <c r="O19" s="12"/>
      <c r="P19" s="12"/>
      <c r="Q19" s="13"/>
      <c r="R19" s="12"/>
      <c r="S19" s="12"/>
      <c r="T19" s="13"/>
    </row>
    <row r="20" spans="2:20">
      <c r="B20" s="39"/>
      <c r="C20" s="20"/>
      <c r="D20" s="20"/>
      <c r="E20" s="20"/>
      <c r="F20" s="42"/>
      <c r="H20" s="14"/>
      <c r="I20" s="15"/>
      <c r="J20" s="12"/>
      <c r="K20" s="12"/>
      <c r="L20" s="12"/>
      <c r="M20" s="13"/>
      <c r="N20" s="15"/>
      <c r="O20" s="12"/>
      <c r="P20" s="12"/>
      <c r="Q20" s="13"/>
      <c r="R20" s="15"/>
      <c r="S20" s="12"/>
      <c r="T20" s="13"/>
    </row>
    <row r="21" spans="2:20" ht="22" thickBot="1">
      <c r="B21" s="39"/>
      <c r="C21" s="33" t="s">
        <v>46</v>
      </c>
      <c r="D21" s="35"/>
      <c r="E21" s="136"/>
      <c r="F21" s="42"/>
      <c r="H21" s="14"/>
      <c r="I21" s="15"/>
      <c r="J21" s="12"/>
      <c r="K21" s="12"/>
      <c r="L21" s="12"/>
      <c r="M21" s="13"/>
      <c r="N21" s="15"/>
      <c r="O21" s="12"/>
      <c r="P21" s="12"/>
      <c r="Q21" s="13"/>
      <c r="R21" s="15"/>
      <c r="S21" s="12"/>
      <c r="T21" s="13"/>
    </row>
    <row r="22" spans="2:20">
      <c r="B22" s="39"/>
      <c r="C22" s="36" t="s">
        <v>60</v>
      </c>
      <c r="D22" s="32" t="s">
        <v>54</v>
      </c>
      <c r="E22" s="137"/>
      <c r="F22" s="42"/>
      <c r="H22" s="14"/>
      <c r="I22" s="15"/>
      <c r="J22" s="12"/>
      <c r="K22" s="12"/>
      <c r="L22" s="12"/>
      <c r="M22" s="13"/>
      <c r="N22" s="15"/>
      <c r="O22" s="12"/>
      <c r="P22" s="12"/>
      <c r="Q22" s="13"/>
      <c r="R22" s="15"/>
      <c r="S22" s="12"/>
      <c r="T22" s="13"/>
    </row>
    <row r="23" spans="2:20">
      <c r="B23" s="40" t="s">
        <v>56</v>
      </c>
      <c r="C23" s="30" t="s">
        <v>215</v>
      </c>
      <c r="D23" s="43"/>
      <c r="E23" s="137"/>
      <c r="F23" s="42"/>
      <c r="H23" s="14"/>
      <c r="I23" s="15"/>
      <c r="J23" s="12"/>
      <c r="K23" s="12"/>
      <c r="L23" s="12"/>
      <c r="M23" s="13"/>
      <c r="N23" s="15"/>
      <c r="O23" s="12"/>
      <c r="P23" s="12"/>
      <c r="Q23" s="13"/>
      <c r="R23" s="15"/>
      <c r="S23" s="12"/>
      <c r="T23" s="13"/>
    </row>
    <row r="24" spans="2:20">
      <c r="B24" s="40" t="s">
        <v>211</v>
      </c>
      <c r="C24" s="34" t="s">
        <v>214</v>
      </c>
      <c r="D24" s="44"/>
      <c r="E24" s="137"/>
      <c r="F24" s="42"/>
      <c r="H24" s="14"/>
      <c r="I24" s="15"/>
      <c r="J24" s="12"/>
      <c r="K24" s="12"/>
      <c r="L24" s="12"/>
      <c r="M24" s="13"/>
      <c r="N24" s="15"/>
      <c r="O24" s="12"/>
      <c r="P24" s="12"/>
      <c r="Q24" s="13"/>
      <c r="R24" s="15"/>
      <c r="S24" s="12"/>
      <c r="T24" s="13"/>
    </row>
    <row r="25" spans="2:20">
      <c r="B25" s="40" t="s">
        <v>57</v>
      </c>
      <c r="C25" s="30" t="s">
        <v>55</v>
      </c>
      <c r="D25" s="43"/>
      <c r="E25" s="137"/>
      <c r="F25" s="42"/>
      <c r="H25" s="14"/>
      <c r="I25" s="15"/>
      <c r="J25" s="12"/>
      <c r="K25" s="12"/>
      <c r="L25" s="12"/>
      <c r="M25" s="13"/>
      <c r="N25" s="15"/>
      <c r="O25" s="12"/>
      <c r="P25" s="12"/>
      <c r="Q25" s="13"/>
      <c r="R25" s="15"/>
      <c r="S25" s="12"/>
      <c r="T25" s="13"/>
    </row>
    <row r="26" spans="2:20">
      <c r="B26" s="40" t="s">
        <v>334</v>
      </c>
      <c r="C26" s="34" t="s">
        <v>331</v>
      </c>
      <c r="D26" s="141"/>
      <c r="E26" s="137"/>
      <c r="F26" s="42"/>
      <c r="H26" s="14"/>
      <c r="I26" s="15"/>
      <c r="J26" s="12"/>
      <c r="K26" s="12"/>
      <c r="L26" s="12"/>
      <c r="M26" s="13"/>
      <c r="N26" s="15"/>
      <c r="O26" s="12"/>
      <c r="P26" s="12"/>
      <c r="Q26" s="13"/>
      <c r="R26" s="15"/>
      <c r="S26" s="12"/>
      <c r="T26" s="13"/>
    </row>
    <row r="27" spans="2:20" ht="17" thickBot="1">
      <c r="B27" s="40" t="s">
        <v>58</v>
      </c>
      <c r="C27" s="123" t="s">
        <v>358</v>
      </c>
      <c r="D27" s="124" t="s">
        <v>62</v>
      </c>
      <c r="E27" s="137"/>
      <c r="F27" s="42"/>
      <c r="H27" s="14"/>
      <c r="I27" s="15"/>
      <c r="J27" s="12"/>
      <c r="K27" s="12"/>
      <c r="L27" s="12"/>
      <c r="M27" s="13"/>
      <c r="N27" s="15"/>
      <c r="O27" s="12"/>
      <c r="P27" s="12"/>
      <c r="Q27" s="13"/>
      <c r="R27" s="15"/>
      <c r="S27" s="12"/>
      <c r="T27" s="13"/>
    </row>
    <row r="28" spans="2:20">
      <c r="B28" s="39"/>
      <c r="C28" s="5"/>
      <c r="D28" s="52"/>
      <c r="E28" s="52"/>
      <c r="F28" s="42"/>
      <c r="H28" s="14" t="s">
        <v>21</v>
      </c>
      <c r="I28" s="15"/>
      <c r="J28" s="12"/>
      <c r="K28" s="12"/>
      <c r="L28" s="12"/>
      <c r="M28" s="13"/>
      <c r="N28" s="15" t="s">
        <v>22</v>
      </c>
      <c r="O28" s="12"/>
      <c r="P28" s="12"/>
      <c r="Q28" s="13"/>
      <c r="R28" s="15" t="s">
        <v>27</v>
      </c>
      <c r="S28" s="12"/>
      <c r="T28" s="13"/>
    </row>
    <row r="29" spans="2:20">
      <c r="B29" s="107">
        <v>0</v>
      </c>
      <c r="C29" s="31" t="s">
        <v>61</v>
      </c>
      <c r="D29" s="32" t="s">
        <v>40</v>
      </c>
      <c r="E29" s="118" t="s">
        <v>424</v>
      </c>
      <c r="F29" s="42"/>
      <c r="H29" s="8" t="s">
        <v>15</v>
      </c>
      <c r="I29" s="9" t="s">
        <v>16</v>
      </c>
      <c r="J29" s="9" t="s">
        <v>17</v>
      </c>
      <c r="K29" s="9" t="s">
        <v>18</v>
      </c>
      <c r="L29" s="9" t="s">
        <v>19</v>
      </c>
      <c r="M29" s="10" t="s">
        <v>20</v>
      </c>
      <c r="N29" s="9" t="s">
        <v>23</v>
      </c>
      <c r="O29" s="9" t="s">
        <v>24</v>
      </c>
      <c r="P29" s="9" t="s">
        <v>25</v>
      </c>
      <c r="Q29" s="10" t="s">
        <v>26</v>
      </c>
      <c r="R29" s="9" t="s">
        <v>28</v>
      </c>
      <c r="S29" s="9" t="s">
        <v>29</v>
      </c>
      <c r="T29" s="10" t="s">
        <v>30</v>
      </c>
    </row>
    <row r="30" spans="2:20" ht="64">
      <c r="B30" s="61">
        <f>B29+1</f>
        <v>1</v>
      </c>
      <c r="C30" s="57" t="s">
        <v>272</v>
      </c>
      <c r="D30" s="84"/>
      <c r="E30" s="84"/>
      <c r="F30" s="42"/>
      <c r="L30" s="9">
        <v>1</v>
      </c>
      <c r="P30" s="9">
        <v>1</v>
      </c>
      <c r="R30" s="9">
        <v>1</v>
      </c>
    </row>
    <row r="31" spans="2:20" ht="112">
      <c r="B31" s="61">
        <f t="shared" ref="B31:B54" si="0">B30+1</f>
        <v>2</v>
      </c>
      <c r="C31" s="58" t="s">
        <v>218</v>
      </c>
      <c r="D31" s="85"/>
      <c r="E31" s="85"/>
      <c r="F31" s="42"/>
      <c r="H31" s="8">
        <v>1</v>
      </c>
      <c r="L31" s="9">
        <v>1</v>
      </c>
      <c r="Q31" s="10">
        <v>1</v>
      </c>
      <c r="T31" s="10">
        <v>1</v>
      </c>
    </row>
    <row r="32" spans="2:20" ht="96">
      <c r="B32" s="61">
        <f t="shared" si="0"/>
        <v>3</v>
      </c>
      <c r="C32" s="57" t="s">
        <v>219</v>
      </c>
      <c r="D32" s="84"/>
      <c r="E32" s="84"/>
      <c r="F32" s="42"/>
      <c r="H32" s="8">
        <v>1</v>
      </c>
      <c r="L32" s="9">
        <v>1</v>
      </c>
      <c r="M32" s="10">
        <v>1</v>
      </c>
      <c r="Q32" s="10">
        <v>1</v>
      </c>
      <c r="S32" s="9">
        <v>1</v>
      </c>
      <c r="T32" s="10">
        <v>1</v>
      </c>
    </row>
    <row r="33" spans="2:20" ht="112">
      <c r="B33" s="61">
        <f t="shared" si="0"/>
        <v>4</v>
      </c>
      <c r="C33" s="58" t="s">
        <v>273</v>
      </c>
      <c r="D33" s="85"/>
      <c r="E33" s="85"/>
      <c r="F33" s="42"/>
      <c r="L33" s="9">
        <v>1</v>
      </c>
      <c r="N33" s="9">
        <v>1</v>
      </c>
      <c r="R33" s="9">
        <v>1</v>
      </c>
    </row>
    <row r="34" spans="2:20" ht="48">
      <c r="B34" s="61">
        <f t="shared" si="0"/>
        <v>5</v>
      </c>
      <c r="C34" s="57" t="s">
        <v>274</v>
      </c>
      <c r="D34" s="84"/>
      <c r="E34" s="84"/>
      <c r="F34" s="42"/>
      <c r="M34" s="10">
        <v>1</v>
      </c>
      <c r="N34" s="9">
        <v>1</v>
      </c>
      <c r="R34" s="9">
        <v>1</v>
      </c>
      <c r="S34" s="9">
        <v>1</v>
      </c>
    </row>
    <row r="35" spans="2:20" ht="80">
      <c r="B35" s="61">
        <f t="shared" si="0"/>
        <v>6</v>
      </c>
      <c r="C35" s="58" t="s">
        <v>237</v>
      </c>
      <c r="D35" s="85"/>
      <c r="E35" s="85"/>
      <c r="F35" s="42"/>
      <c r="H35" s="8">
        <v>1</v>
      </c>
      <c r="J35" s="9">
        <v>1</v>
      </c>
      <c r="M35" s="10">
        <v>1</v>
      </c>
      <c r="O35" s="9">
        <v>1</v>
      </c>
      <c r="P35" s="9">
        <v>1</v>
      </c>
      <c r="Q35" s="10">
        <v>1</v>
      </c>
      <c r="R35" s="9">
        <v>1</v>
      </c>
      <c r="S35" s="9">
        <v>1</v>
      </c>
    </row>
    <row r="36" spans="2:20" ht="176">
      <c r="B36" s="61">
        <f t="shared" si="0"/>
        <v>7</v>
      </c>
      <c r="C36" s="57" t="s">
        <v>285</v>
      </c>
      <c r="D36" s="84"/>
      <c r="E36" s="84"/>
      <c r="F36" s="42"/>
      <c r="H36" s="8">
        <v>1</v>
      </c>
      <c r="J36" s="9">
        <v>1</v>
      </c>
      <c r="N36" s="9">
        <v>1</v>
      </c>
      <c r="P36" s="9">
        <v>1</v>
      </c>
      <c r="S36" s="9">
        <v>1</v>
      </c>
      <c r="T36" s="10">
        <v>1</v>
      </c>
    </row>
    <row r="37" spans="2:20" ht="48">
      <c r="B37" s="61">
        <f t="shared" si="0"/>
        <v>8</v>
      </c>
      <c r="C37" s="58" t="s">
        <v>220</v>
      </c>
      <c r="D37" s="85"/>
      <c r="E37" s="85"/>
      <c r="F37" s="42"/>
      <c r="M37" s="10">
        <v>1</v>
      </c>
      <c r="Q37" s="10">
        <v>1</v>
      </c>
      <c r="S37" s="9">
        <v>1</v>
      </c>
    </row>
    <row r="38" spans="2:20" ht="112">
      <c r="B38" s="61">
        <f t="shared" si="0"/>
        <v>9</v>
      </c>
      <c r="C38" s="57" t="s">
        <v>275</v>
      </c>
      <c r="D38" s="84"/>
      <c r="E38" s="84"/>
      <c r="F38" s="42"/>
      <c r="H38" s="8">
        <v>1</v>
      </c>
      <c r="N38" s="9">
        <v>1</v>
      </c>
      <c r="S38" s="9">
        <v>1</v>
      </c>
    </row>
    <row r="39" spans="2:20" ht="48">
      <c r="B39" s="61">
        <f t="shared" si="0"/>
        <v>10</v>
      </c>
      <c r="C39" s="58" t="s">
        <v>236</v>
      </c>
      <c r="D39" s="85"/>
      <c r="E39" s="85"/>
      <c r="F39" s="42"/>
      <c r="L39" s="9">
        <v>1</v>
      </c>
      <c r="N39" s="9">
        <v>1</v>
      </c>
      <c r="T39" s="10">
        <v>1</v>
      </c>
    </row>
    <row r="40" spans="2:20" ht="80">
      <c r="B40" s="61">
        <f t="shared" si="0"/>
        <v>11</v>
      </c>
      <c r="C40" s="57" t="s">
        <v>221</v>
      </c>
      <c r="D40" s="84"/>
      <c r="E40" s="84"/>
      <c r="F40" s="42"/>
      <c r="L40" s="9">
        <v>1</v>
      </c>
      <c r="N40" s="9">
        <v>1</v>
      </c>
      <c r="T40" s="10">
        <v>1</v>
      </c>
    </row>
    <row r="41" spans="2:20" ht="96">
      <c r="B41" s="61">
        <f t="shared" si="0"/>
        <v>12</v>
      </c>
      <c r="C41" s="58" t="s">
        <v>276</v>
      </c>
      <c r="D41" s="85"/>
      <c r="E41" s="85"/>
      <c r="F41" s="42"/>
      <c r="L41" s="9">
        <v>1</v>
      </c>
      <c r="N41" s="9">
        <v>1</v>
      </c>
      <c r="R41" s="9">
        <v>1</v>
      </c>
    </row>
    <row r="42" spans="2:20" ht="96">
      <c r="B42" s="61">
        <f t="shared" si="0"/>
        <v>13</v>
      </c>
      <c r="C42" s="57" t="s">
        <v>277</v>
      </c>
      <c r="D42" s="84"/>
      <c r="E42" s="84"/>
      <c r="F42" s="42"/>
      <c r="J42" s="9">
        <v>1</v>
      </c>
      <c r="O42" s="9">
        <v>1</v>
      </c>
      <c r="T42" s="10">
        <v>1</v>
      </c>
    </row>
    <row r="43" spans="2:20" ht="32">
      <c r="B43" s="61">
        <f t="shared" si="0"/>
        <v>14</v>
      </c>
      <c r="C43" s="58" t="s">
        <v>278</v>
      </c>
      <c r="D43" s="85"/>
      <c r="E43" s="85"/>
      <c r="F43" s="42"/>
      <c r="J43" s="9">
        <v>1</v>
      </c>
      <c r="N43" s="9">
        <v>1</v>
      </c>
      <c r="R43" s="9">
        <v>1</v>
      </c>
      <c r="S43" s="9">
        <v>1</v>
      </c>
    </row>
    <row r="44" spans="2:20" ht="304">
      <c r="B44" s="61">
        <f t="shared" si="0"/>
        <v>15</v>
      </c>
      <c r="C44" s="57" t="s">
        <v>279</v>
      </c>
      <c r="D44" s="84"/>
      <c r="E44" s="84"/>
      <c r="F44" s="42"/>
      <c r="H44" s="8">
        <v>1</v>
      </c>
      <c r="K44" s="9">
        <v>1</v>
      </c>
      <c r="N44" s="9">
        <v>1</v>
      </c>
      <c r="P44" s="9">
        <v>1</v>
      </c>
      <c r="R44" s="9">
        <v>1</v>
      </c>
    </row>
    <row r="45" spans="2:20" ht="32">
      <c r="B45" s="61">
        <f t="shared" si="0"/>
        <v>16</v>
      </c>
      <c r="C45" s="58" t="s">
        <v>226</v>
      </c>
      <c r="D45" s="85"/>
      <c r="E45" s="85"/>
      <c r="F45" s="42"/>
      <c r="H45" s="8">
        <v>1</v>
      </c>
      <c r="O45" s="9">
        <v>1</v>
      </c>
      <c r="R45" s="9">
        <v>1</v>
      </c>
    </row>
    <row r="46" spans="2:20" ht="64">
      <c r="B46" s="61">
        <f t="shared" si="0"/>
        <v>17</v>
      </c>
      <c r="C46" s="57" t="s">
        <v>280</v>
      </c>
      <c r="D46" s="84"/>
      <c r="E46" s="84"/>
      <c r="F46" s="42"/>
      <c r="H46" s="8">
        <v>1</v>
      </c>
      <c r="P46" s="9">
        <v>1</v>
      </c>
      <c r="S46" s="9">
        <v>1</v>
      </c>
    </row>
    <row r="47" spans="2:20" ht="32">
      <c r="B47" s="61">
        <f t="shared" si="0"/>
        <v>18</v>
      </c>
      <c r="C47" s="58" t="s">
        <v>222</v>
      </c>
      <c r="D47" s="85"/>
      <c r="E47" s="85"/>
      <c r="F47" s="42"/>
      <c r="K47" s="9">
        <v>1</v>
      </c>
      <c r="N47" s="9">
        <v>1</v>
      </c>
      <c r="S47" s="9">
        <v>1</v>
      </c>
      <c r="T47" s="10">
        <v>1</v>
      </c>
    </row>
    <row r="48" spans="2:20" ht="176">
      <c r="B48" s="61">
        <f t="shared" si="0"/>
        <v>19</v>
      </c>
      <c r="C48" s="57" t="s">
        <v>223</v>
      </c>
      <c r="D48" s="84"/>
      <c r="E48" s="84"/>
      <c r="F48" s="42"/>
      <c r="H48" s="8">
        <v>1</v>
      </c>
      <c r="Q48" s="10">
        <v>1</v>
      </c>
      <c r="T48" s="10">
        <v>1</v>
      </c>
    </row>
    <row r="49" spans="2:20" ht="32">
      <c r="B49" s="61">
        <f t="shared" si="0"/>
        <v>20</v>
      </c>
      <c r="C49" s="58" t="s">
        <v>224</v>
      </c>
      <c r="D49" s="85"/>
      <c r="E49" s="85"/>
      <c r="F49" s="42"/>
      <c r="K49" s="9">
        <v>1</v>
      </c>
      <c r="O49" s="9">
        <v>1</v>
      </c>
      <c r="S49" s="9">
        <v>1</v>
      </c>
    </row>
    <row r="50" spans="2:20" ht="160">
      <c r="B50" s="61">
        <f t="shared" si="0"/>
        <v>21</v>
      </c>
      <c r="C50" s="57" t="s">
        <v>281</v>
      </c>
      <c r="D50" s="84"/>
      <c r="E50" s="84"/>
      <c r="F50" s="42"/>
      <c r="H50" s="8">
        <v>1</v>
      </c>
      <c r="N50" s="9">
        <v>1</v>
      </c>
      <c r="O50" s="9">
        <v>1</v>
      </c>
      <c r="S50" s="9">
        <v>1</v>
      </c>
    </row>
    <row r="51" spans="2:20" ht="112">
      <c r="B51" s="61">
        <f t="shared" si="0"/>
        <v>22</v>
      </c>
      <c r="C51" s="58" t="s">
        <v>282</v>
      </c>
      <c r="D51" s="85"/>
      <c r="E51" s="85"/>
      <c r="F51" s="42"/>
      <c r="H51" s="8">
        <v>1</v>
      </c>
      <c r="J51" s="9">
        <v>1</v>
      </c>
      <c r="P51" s="9">
        <v>1</v>
      </c>
      <c r="Q51" s="10">
        <v>1</v>
      </c>
      <c r="T51" s="10">
        <v>1</v>
      </c>
    </row>
    <row r="52" spans="2:20" ht="64">
      <c r="B52" s="61">
        <f t="shared" si="0"/>
        <v>23</v>
      </c>
      <c r="C52" s="57" t="s">
        <v>225</v>
      </c>
      <c r="D52" s="84"/>
      <c r="E52" s="84"/>
      <c r="F52" s="42"/>
      <c r="I52" s="9">
        <v>1</v>
      </c>
      <c r="O52" s="9">
        <v>1</v>
      </c>
      <c r="P52" s="9">
        <v>1</v>
      </c>
      <c r="Q52" s="10">
        <v>1</v>
      </c>
      <c r="R52" s="9">
        <v>1</v>
      </c>
      <c r="S52" s="9">
        <v>1</v>
      </c>
      <c r="T52" s="10">
        <v>1</v>
      </c>
    </row>
    <row r="53" spans="2:20" ht="32">
      <c r="B53" s="61">
        <f t="shared" si="0"/>
        <v>24</v>
      </c>
      <c r="C53" s="58" t="s">
        <v>283</v>
      </c>
      <c r="D53" s="85"/>
      <c r="E53" s="85"/>
      <c r="F53" s="42"/>
      <c r="H53" s="8">
        <v>1</v>
      </c>
      <c r="I53" s="9">
        <v>1</v>
      </c>
      <c r="N53" s="9">
        <v>1</v>
      </c>
      <c r="P53" s="9">
        <v>1</v>
      </c>
      <c r="R53" s="9">
        <v>1</v>
      </c>
      <c r="S53" s="9">
        <v>1</v>
      </c>
      <c r="T53" s="10">
        <v>1</v>
      </c>
    </row>
    <row r="54" spans="2:20" ht="33" thickBot="1">
      <c r="B54" s="61">
        <f t="shared" si="0"/>
        <v>25</v>
      </c>
      <c r="C54" s="60" t="s">
        <v>284</v>
      </c>
      <c r="D54" s="87"/>
      <c r="E54" s="87"/>
      <c r="F54" s="42"/>
      <c r="I54" s="9">
        <v>1</v>
      </c>
      <c r="K54" s="9">
        <v>1</v>
      </c>
      <c r="L54" s="9">
        <v>1</v>
      </c>
      <c r="P54" s="9">
        <v>1</v>
      </c>
      <c r="Q54" s="10">
        <v>1</v>
      </c>
      <c r="R54" s="9">
        <v>1</v>
      </c>
    </row>
    <row r="55" spans="2:20" ht="21">
      <c r="B55" s="62"/>
      <c r="C55" s="55"/>
      <c r="D55" s="56"/>
      <c r="E55" s="56"/>
      <c r="F55" s="42"/>
    </row>
    <row r="56" spans="2:20">
      <c r="B56" s="107">
        <f>B54</f>
        <v>25</v>
      </c>
      <c r="C56" s="31" t="s">
        <v>227</v>
      </c>
      <c r="D56" s="32" t="s">
        <v>40</v>
      </c>
      <c r="E56" s="118" t="s">
        <v>424</v>
      </c>
      <c r="F56" s="42"/>
      <c r="H56" s="8" t="s">
        <v>15</v>
      </c>
      <c r="I56" s="9" t="s">
        <v>16</v>
      </c>
      <c r="J56" s="9" t="s">
        <v>17</v>
      </c>
      <c r="K56" s="9" t="s">
        <v>18</v>
      </c>
      <c r="L56" s="9" t="s">
        <v>19</v>
      </c>
      <c r="M56" s="10" t="s">
        <v>20</v>
      </c>
      <c r="N56" s="9" t="s">
        <v>23</v>
      </c>
      <c r="O56" s="9" t="s">
        <v>24</v>
      </c>
      <c r="P56" s="9" t="s">
        <v>25</v>
      </c>
      <c r="Q56" s="10" t="s">
        <v>26</v>
      </c>
      <c r="R56" s="9" t="s">
        <v>28</v>
      </c>
      <c r="S56" s="9" t="s">
        <v>29</v>
      </c>
      <c r="T56" s="10" t="s">
        <v>30</v>
      </c>
    </row>
    <row r="57" spans="2:20" ht="96">
      <c r="B57" s="61">
        <f>B56+1</f>
        <v>26</v>
      </c>
      <c r="C57" s="57" t="s">
        <v>286</v>
      </c>
      <c r="D57" s="84"/>
      <c r="E57" s="84"/>
      <c r="F57" s="42"/>
      <c r="H57" s="8">
        <v>1</v>
      </c>
      <c r="I57" s="9">
        <v>1</v>
      </c>
      <c r="N57" s="9">
        <v>1</v>
      </c>
      <c r="R57" s="9">
        <v>1</v>
      </c>
    </row>
    <row r="58" spans="2:20" ht="176">
      <c r="B58" s="61">
        <f t="shared" ref="B58:B70" si="1">B57+1</f>
        <v>27</v>
      </c>
      <c r="C58" s="58" t="s">
        <v>287</v>
      </c>
      <c r="D58" s="85"/>
      <c r="E58" s="85"/>
      <c r="F58" s="42"/>
      <c r="H58" s="8">
        <v>1</v>
      </c>
      <c r="I58" s="9">
        <v>1</v>
      </c>
      <c r="P58" s="9">
        <v>1</v>
      </c>
      <c r="T58" s="10">
        <v>1</v>
      </c>
    </row>
    <row r="59" spans="2:20" ht="96">
      <c r="B59" s="61">
        <f t="shared" si="1"/>
        <v>28</v>
      </c>
      <c r="C59" s="57" t="s">
        <v>288</v>
      </c>
      <c r="D59" s="84"/>
      <c r="E59" s="84"/>
      <c r="F59" s="42"/>
      <c r="H59" s="8">
        <v>1</v>
      </c>
      <c r="I59" s="9">
        <v>1</v>
      </c>
      <c r="P59" s="9">
        <v>1</v>
      </c>
      <c r="R59" s="9">
        <v>1</v>
      </c>
      <c r="T59" s="10">
        <v>1</v>
      </c>
    </row>
    <row r="60" spans="2:20" ht="112">
      <c r="B60" s="61">
        <f t="shared" si="1"/>
        <v>29</v>
      </c>
      <c r="C60" s="58" t="s">
        <v>289</v>
      </c>
      <c r="D60" s="85"/>
      <c r="E60" s="85"/>
      <c r="F60" s="42"/>
      <c r="H60" s="8">
        <v>1</v>
      </c>
      <c r="I60" s="9">
        <v>1</v>
      </c>
      <c r="P60" s="9">
        <v>1</v>
      </c>
      <c r="R60" s="9">
        <v>1</v>
      </c>
      <c r="S60" s="9">
        <v>1</v>
      </c>
      <c r="T60" s="10">
        <v>1</v>
      </c>
    </row>
    <row r="61" spans="2:20" ht="80">
      <c r="B61" s="61">
        <f t="shared" si="1"/>
        <v>30</v>
      </c>
      <c r="C61" s="57" t="s">
        <v>228</v>
      </c>
      <c r="D61" s="84"/>
      <c r="E61" s="84"/>
      <c r="F61" s="42"/>
      <c r="K61" s="9">
        <v>1</v>
      </c>
      <c r="L61" s="9">
        <v>1</v>
      </c>
      <c r="O61" s="9">
        <v>1</v>
      </c>
      <c r="R61" s="9">
        <v>1</v>
      </c>
    </row>
    <row r="62" spans="2:20" ht="112">
      <c r="B62" s="61">
        <f t="shared" si="1"/>
        <v>31</v>
      </c>
      <c r="C62" s="58" t="s">
        <v>290</v>
      </c>
      <c r="D62" s="85"/>
      <c r="E62" s="85"/>
      <c r="F62" s="42"/>
      <c r="L62" s="9">
        <v>1</v>
      </c>
      <c r="N62" s="9">
        <v>1</v>
      </c>
      <c r="R62" s="9">
        <v>1</v>
      </c>
    </row>
    <row r="63" spans="2:20" ht="80">
      <c r="B63" s="61">
        <f t="shared" si="1"/>
        <v>32</v>
      </c>
      <c r="C63" s="57" t="s">
        <v>254</v>
      </c>
      <c r="D63" s="84"/>
      <c r="E63" s="84"/>
      <c r="F63" s="42"/>
      <c r="L63" s="9">
        <v>1</v>
      </c>
      <c r="N63" s="9">
        <v>1</v>
      </c>
      <c r="R63" s="9">
        <v>1</v>
      </c>
    </row>
    <row r="64" spans="2:20" ht="64">
      <c r="B64" s="61">
        <f t="shared" si="1"/>
        <v>33</v>
      </c>
      <c r="C64" s="58" t="s">
        <v>229</v>
      </c>
      <c r="D64" s="85"/>
      <c r="E64" s="85"/>
      <c r="F64" s="42"/>
      <c r="L64" s="9">
        <v>1</v>
      </c>
      <c r="N64" s="9">
        <v>1</v>
      </c>
      <c r="R64" s="9">
        <v>1</v>
      </c>
    </row>
    <row r="65" spans="2:20" ht="32">
      <c r="B65" s="61">
        <f t="shared" si="1"/>
        <v>34</v>
      </c>
      <c r="C65" s="57" t="s">
        <v>230</v>
      </c>
      <c r="D65" s="84"/>
      <c r="E65" s="84"/>
      <c r="F65" s="42"/>
      <c r="H65" s="8">
        <v>1</v>
      </c>
      <c r="L65" s="9">
        <v>1</v>
      </c>
      <c r="O65" s="9">
        <v>1</v>
      </c>
      <c r="R65" s="9">
        <v>1</v>
      </c>
    </row>
    <row r="66" spans="2:20" ht="32">
      <c r="B66" s="61">
        <f t="shared" si="1"/>
        <v>35</v>
      </c>
      <c r="C66" s="58" t="s">
        <v>231</v>
      </c>
      <c r="D66" s="85"/>
      <c r="E66" s="85"/>
      <c r="F66" s="42"/>
      <c r="I66" s="9">
        <v>1</v>
      </c>
      <c r="J66" s="9">
        <v>1</v>
      </c>
      <c r="L66" s="9">
        <v>1</v>
      </c>
      <c r="N66" s="9">
        <v>1</v>
      </c>
      <c r="P66" s="9">
        <v>1</v>
      </c>
      <c r="T66" s="10">
        <v>1</v>
      </c>
    </row>
    <row r="67" spans="2:20" ht="32">
      <c r="B67" s="61">
        <f t="shared" si="1"/>
        <v>36</v>
      </c>
      <c r="C67" s="57" t="s">
        <v>232</v>
      </c>
      <c r="D67" s="84"/>
      <c r="E67" s="84"/>
      <c r="F67" s="42"/>
      <c r="I67" s="9">
        <v>1</v>
      </c>
      <c r="N67" s="9">
        <v>1</v>
      </c>
      <c r="R67" s="9">
        <v>1</v>
      </c>
    </row>
    <row r="68" spans="2:20" ht="32">
      <c r="B68" s="61">
        <f t="shared" si="1"/>
        <v>37</v>
      </c>
      <c r="C68" s="58" t="s">
        <v>291</v>
      </c>
      <c r="D68" s="85"/>
      <c r="E68" s="85"/>
      <c r="F68" s="42"/>
      <c r="K68" s="9">
        <v>1</v>
      </c>
      <c r="L68" s="9">
        <v>1</v>
      </c>
      <c r="O68" s="9">
        <v>1</v>
      </c>
      <c r="T68" s="10">
        <v>1</v>
      </c>
    </row>
    <row r="69" spans="2:20" ht="32">
      <c r="B69" s="61">
        <f t="shared" si="1"/>
        <v>38</v>
      </c>
      <c r="C69" s="57" t="s">
        <v>292</v>
      </c>
      <c r="D69" s="84"/>
      <c r="E69" s="84"/>
      <c r="F69" s="42"/>
      <c r="L69" s="9">
        <v>1</v>
      </c>
      <c r="O69" s="9">
        <v>1</v>
      </c>
      <c r="S69" s="9">
        <v>1</v>
      </c>
    </row>
    <row r="70" spans="2:20" ht="80">
      <c r="B70" s="61">
        <f t="shared" si="1"/>
        <v>39</v>
      </c>
      <c r="C70" s="58" t="s">
        <v>235</v>
      </c>
      <c r="D70" s="85"/>
      <c r="E70" s="85"/>
      <c r="F70" s="42"/>
      <c r="M70" s="10">
        <v>1</v>
      </c>
      <c r="N70" s="9">
        <v>1</v>
      </c>
      <c r="O70" s="9">
        <v>1</v>
      </c>
      <c r="S70" s="9">
        <v>1</v>
      </c>
    </row>
    <row r="71" spans="2:20" ht="81" thickBot="1">
      <c r="B71" s="61">
        <f>B70+1</f>
        <v>40</v>
      </c>
      <c r="C71" s="60" t="s">
        <v>293</v>
      </c>
      <c r="D71" s="87"/>
      <c r="E71" s="87"/>
      <c r="F71" s="42"/>
      <c r="M71" s="10">
        <v>1</v>
      </c>
      <c r="O71" s="9">
        <v>1</v>
      </c>
      <c r="P71" s="9">
        <v>1</v>
      </c>
      <c r="R71" s="9">
        <v>1</v>
      </c>
    </row>
    <row r="72" spans="2:20" ht="21">
      <c r="B72" s="62"/>
      <c r="C72" s="55"/>
      <c r="D72" s="56"/>
      <c r="E72" s="56"/>
      <c r="F72" s="42"/>
    </row>
    <row r="73" spans="2:20">
      <c r="B73" s="107">
        <f>B71</f>
        <v>40</v>
      </c>
      <c r="C73" s="31" t="s">
        <v>233</v>
      </c>
      <c r="D73" s="32" t="s">
        <v>40</v>
      </c>
      <c r="E73" s="118" t="s">
        <v>424</v>
      </c>
      <c r="F73" s="42"/>
      <c r="H73" s="8" t="s">
        <v>15</v>
      </c>
      <c r="I73" s="9" t="s">
        <v>16</v>
      </c>
      <c r="J73" s="9" t="s">
        <v>17</v>
      </c>
      <c r="K73" s="9" t="s">
        <v>18</v>
      </c>
      <c r="L73" s="9" t="s">
        <v>19</v>
      </c>
      <c r="M73" s="10" t="s">
        <v>20</v>
      </c>
      <c r="N73" s="9" t="s">
        <v>23</v>
      </c>
      <c r="O73" s="9" t="s">
        <v>24</v>
      </c>
      <c r="P73" s="9" t="s">
        <v>25</v>
      </c>
      <c r="Q73" s="10" t="s">
        <v>26</v>
      </c>
      <c r="R73" s="9" t="s">
        <v>28</v>
      </c>
      <c r="S73" s="9" t="s">
        <v>29</v>
      </c>
      <c r="T73" s="10" t="s">
        <v>30</v>
      </c>
    </row>
    <row r="74" spans="2:20" ht="192">
      <c r="B74" s="61">
        <f>B73+1</f>
        <v>41</v>
      </c>
      <c r="C74" s="57" t="s">
        <v>294</v>
      </c>
      <c r="D74" s="84"/>
      <c r="E74" s="84"/>
      <c r="F74" s="42"/>
      <c r="H74" s="8">
        <v>1</v>
      </c>
      <c r="K74" s="9">
        <v>1</v>
      </c>
      <c r="N74" s="9">
        <v>1</v>
      </c>
      <c r="O74" s="9">
        <v>1</v>
      </c>
      <c r="R74" s="9">
        <v>1</v>
      </c>
    </row>
    <row r="75" spans="2:20" ht="128">
      <c r="B75" s="61">
        <f t="shared" ref="B75:B82" si="2">B74+1</f>
        <v>42</v>
      </c>
      <c r="C75" s="58" t="s">
        <v>295</v>
      </c>
      <c r="D75" s="85"/>
      <c r="E75" s="85"/>
      <c r="F75" s="42"/>
      <c r="K75" s="9">
        <v>1</v>
      </c>
      <c r="L75" s="9">
        <v>1</v>
      </c>
      <c r="N75" s="9">
        <v>1</v>
      </c>
      <c r="O75" s="9">
        <v>1</v>
      </c>
      <c r="R75" s="9">
        <v>1</v>
      </c>
    </row>
    <row r="76" spans="2:20" ht="96">
      <c r="B76" s="61">
        <f t="shared" si="2"/>
        <v>43</v>
      </c>
      <c r="C76" s="57" t="s">
        <v>296</v>
      </c>
      <c r="D76" s="84"/>
      <c r="E76" s="84"/>
      <c r="F76" s="42"/>
      <c r="K76" s="9">
        <v>1</v>
      </c>
      <c r="N76" s="9">
        <v>1</v>
      </c>
      <c r="O76" s="9">
        <v>1</v>
      </c>
      <c r="T76" s="10">
        <v>1</v>
      </c>
    </row>
    <row r="77" spans="2:20" ht="48">
      <c r="B77" s="61">
        <f t="shared" si="2"/>
        <v>44</v>
      </c>
      <c r="C77" s="58" t="s">
        <v>297</v>
      </c>
      <c r="D77" s="85"/>
      <c r="E77" s="85"/>
      <c r="F77" s="42"/>
      <c r="K77" s="9">
        <v>1</v>
      </c>
      <c r="N77" s="9">
        <v>1</v>
      </c>
      <c r="O77" s="9">
        <v>1</v>
      </c>
      <c r="S77" s="9">
        <v>1</v>
      </c>
    </row>
    <row r="78" spans="2:20" ht="32">
      <c r="B78" s="61">
        <f t="shared" si="2"/>
        <v>45</v>
      </c>
      <c r="C78" s="57" t="s">
        <v>298</v>
      </c>
      <c r="D78" s="84"/>
      <c r="E78" s="84"/>
      <c r="F78" s="42"/>
      <c r="K78" s="9">
        <v>1</v>
      </c>
      <c r="N78" s="9">
        <v>1</v>
      </c>
      <c r="O78" s="9">
        <v>1</v>
      </c>
      <c r="R78" s="9">
        <v>1</v>
      </c>
    </row>
    <row r="79" spans="2:20" ht="192">
      <c r="B79" s="61">
        <f t="shared" si="2"/>
        <v>46</v>
      </c>
      <c r="C79" s="58" t="s">
        <v>299</v>
      </c>
      <c r="D79" s="85"/>
      <c r="E79" s="85"/>
      <c r="F79" s="42"/>
      <c r="K79" s="9">
        <v>1</v>
      </c>
      <c r="N79" s="9">
        <v>1</v>
      </c>
      <c r="O79" s="9">
        <v>1</v>
      </c>
      <c r="T79" s="10">
        <v>1</v>
      </c>
    </row>
    <row r="80" spans="2:20" ht="48">
      <c r="B80" s="61">
        <f t="shared" si="2"/>
        <v>47</v>
      </c>
      <c r="C80" s="57" t="s">
        <v>255</v>
      </c>
      <c r="D80" s="84"/>
      <c r="E80" s="84"/>
      <c r="F80" s="42"/>
      <c r="J80" s="9">
        <v>1</v>
      </c>
      <c r="L80" s="9">
        <v>1</v>
      </c>
      <c r="M80" s="10">
        <v>1</v>
      </c>
      <c r="N80" s="9">
        <v>1</v>
      </c>
      <c r="O80" s="9">
        <v>1</v>
      </c>
      <c r="P80" s="9">
        <v>1</v>
      </c>
      <c r="T80" s="10">
        <v>1</v>
      </c>
    </row>
    <row r="81" spans="2:20" ht="112">
      <c r="B81" s="61">
        <f t="shared" si="2"/>
        <v>48</v>
      </c>
      <c r="C81" s="58" t="s">
        <v>300</v>
      </c>
      <c r="D81" s="85"/>
      <c r="E81" s="85"/>
      <c r="F81" s="42"/>
      <c r="H81" s="8">
        <v>1</v>
      </c>
      <c r="K81" s="9">
        <v>1</v>
      </c>
      <c r="N81" s="9">
        <v>1</v>
      </c>
      <c r="O81" s="9">
        <v>1</v>
      </c>
      <c r="R81" s="9">
        <v>1</v>
      </c>
    </row>
    <row r="82" spans="2:20" ht="33" thickBot="1">
      <c r="B82" s="61">
        <f t="shared" si="2"/>
        <v>49</v>
      </c>
      <c r="C82" s="60" t="s">
        <v>234</v>
      </c>
      <c r="D82" s="87"/>
      <c r="E82" s="87"/>
      <c r="F82" s="42"/>
      <c r="I82" s="9">
        <v>1</v>
      </c>
      <c r="M82" s="10">
        <v>1</v>
      </c>
      <c r="O82" s="9">
        <v>1</v>
      </c>
      <c r="P82" s="9">
        <v>1</v>
      </c>
      <c r="R82" s="9">
        <v>1</v>
      </c>
      <c r="T82" s="10">
        <v>1</v>
      </c>
    </row>
    <row r="83" spans="2:20" ht="21">
      <c r="B83" s="39"/>
      <c r="C83" s="55"/>
      <c r="D83" s="56"/>
      <c r="E83" s="56"/>
      <c r="F83" s="42"/>
    </row>
    <row r="84" spans="2:20">
      <c r="B84" s="107">
        <f>B82</f>
        <v>49</v>
      </c>
      <c r="C84" s="31" t="s">
        <v>238</v>
      </c>
      <c r="D84" s="32" t="s">
        <v>40</v>
      </c>
      <c r="E84" s="118" t="s">
        <v>424</v>
      </c>
      <c r="F84" s="42"/>
      <c r="H84" s="8" t="s">
        <v>15</v>
      </c>
      <c r="I84" s="9" t="s">
        <v>16</v>
      </c>
      <c r="J84" s="9" t="s">
        <v>17</v>
      </c>
      <c r="K84" s="9" t="s">
        <v>18</v>
      </c>
      <c r="L84" s="9" t="s">
        <v>19</v>
      </c>
      <c r="M84" s="10" t="s">
        <v>20</v>
      </c>
      <c r="N84" s="9" t="s">
        <v>23</v>
      </c>
      <c r="O84" s="9" t="s">
        <v>24</v>
      </c>
      <c r="P84" s="9" t="s">
        <v>25</v>
      </c>
      <c r="Q84" s="10" t="s">
        <v>26</v>
      </c>
      <c r="R84" s="9" t="s">
        <v>28</v>
      </c>
      <c r="S84" s="9" t="s">
        <v>29</v>
      </c>
      <c r="T84" s="10" t="s">
        <v>30</v>
      </c>
    </row>
    <row r="85" spans="2:20" ht="128">
      <c r="B85" s="61">
        <f>B84+1</f>
        <v>50</v>
      </c>
      <c r="C85" s="57" t="s">
        <v>301</v>
      </c>
      <c r="D85" s="84"/>
      <c r="E85" s="84"/>
      <c r="F85" s="42"/>
      <c r="H85" s="8">
        <v>1</v>
      </c>
      <c r="N85" s="9">
        <v>1</v>
      </c>
      <c r="R85" s="9">
        <v>1</v>
      </c>
    </row>
    <row r="86" spans="2:20" ht="96">
      <c r="B86" s="61">
        <f t="shared" ref="B86:B103" si="3">B85+1</f>
        <v>51</v>
      </c>
      <c r="C86" s="58" t="s">
        <v>239</v>
      </c>
      <c r="D86" s="85"/>
      <c r="E86" s="85"/>
      <c r="F86" s="42"/>
      <c r="H86" s="8">
        <v>1</v>
      </c>
      <c r="I86" s="9">
        <v>1</v>
      </c>
      <c r="N86" s="9">
        <v>1</v>
      </c>
      <c r="R86" s="9">
        <v>1</v>
      </c>
    </row>
    <row r="87" spans="2:20" ht="96">
      <c r="B87" s="61">
        <f t="shared" si="3"/>
        <v>52</v>
      </c>
      <c r="C87" s="57" t="s">
        <v>302</v>
      </c>
      <c r="D87" s="84"/>
      <c r="E87" s="84"/>
      <c r="F87" s="42"/>
      <c r="J87" s="9">
        <v>1</v>
      </c>
      <c r="L87" s="9">
        <v>1</v>
      </c>
      <c r="P87" s="9">
        <v>1</v>
      </c>
      <c r="S87" s="9">
        <v>1</v>
      </c>
      <c r="T87" s="10">
        <v>1</v>
      </c>
    </row>
    <row r="88" spans="2:20" ht="32">
      <c r="B88" s="61">
        <f t="shared" si="3"/>
        <v>53</v>
      </c>
      <c r="C88" s="58" t="s">
        <v>303</v>
      </c>
      <c r="D88" s="85"/>
      <c r="E88" s="85"/>
      <c r="F88" s="42"/>
      <c r="K88" s="9">
        <v>1</v>
      </c>
      <c r="O88" s="9">
        <v>1</v>
      </c>
      <c r="R88" s="9">
        <v>1</v>
      </c>
    </row>
    <row r="89" spans="2:20" ht="32">
      <c r="B89" s="61">
        <f t="shared" si="3"/>
        <v>54</v>
      </c>
      <c r="C89" s="57" t="s">
        <v>240</v>
      </c>
      <c r="D89" s="84"/>
      <c r="E89" s="84"/>
      <c r="F89" s="42"/>
      <c r="L89" s="9">
        <v>1</v>
      </c>
      <c r="N89" s="9">
        <v>1</v>
      </c>
      <c r="O89" s="9">
        <v>1</v>
      </c>
      <c r="R89" s="9">
        <v>1</v>
      </c>
      <c r="S89" s="9">
        <v>1</v>
      </c>
      <c r="T89" s="10">
        <v>1</v>
      </c>
    </row>
    <row r="90" spans="2:20" ht="32">
      <c r="B90" s="61">
        <f t="shared" si="3"/>
        <v>55</v>
      </c>
      <c r="C90" s="58" t="s">
        <v>241</v>
      </c>
      <c r="D90" s="85"/>
      <c r="E90" s="85"/>
      <c r="F90" s="42"/>
      <c r="K90" s="9">
        <v>1</v>
      </c>
      <c r="P90" s="9">
        <v>1</v>
      </c>
      <c r="Q90" s="10">
        <v>1</v>
      </c>
      <c r="R90" s="9">
        <v>1</v>
      </c>
    </row>
    <row r="91" spans="2:20" ht="32">
      <c r="B91" s="61">
        <f t="shared" si="3"/>
        <v>56</v>
      </c>
      <c r="C91" s="57" t="s">
        <v>242</v>
      </c>
      <c r="D91" s="84"/>
      <c r="E91" s="84"/>
      <c r="F91" s="42"/>
      <c r="K91" s="9">
        <v>1</v>
      </c>
      <c r="L91" s="9">
        <v>1</v>
      </c>
      <c r="N91" s="9">
        <v>1</v>
      </c>
      <c r="R91" s="9">
        <v>1</v>
      </c>
    </row>
    <row r="92" spans="2:20">
      <c r="B92" s="61">
        <f t="shared" si="3"/>
        <v>57</v>
      </c>
      <c r="C92" s="58" t="s">
        <v>243</v>
      </c>
      <c r="D92" s="85"/>
      <c r="E92" s="85"/>
      <c r="F92" s="42"/>
      <c r="K92" s="9">
        <v>1</v>
      </c>
      <c r="O92" s="9">
        <v>1</v>
      </c>
      <c r="R92" s="9">
        <v>1</v>
      </c>
    </row>
    <row r="93" spans="2:20">
      <c r="B93" s="61">
        <f t="shared" si="3"/>
        <v>58</v>
      </c>
      <c r="C93" s="57" t="s">
        <v>304</v>
      </c>
      <c r="D93" s="84"/>
      <c r="E93" s="84"/>
      <c r="F93" s="42"/>
      <c r="K93" s="9">
        <v>1</v>
      </c>
      <c r="O93" s="9">
        <v>1</v>
      </c>
      <c r="R93" s="9">
        <v>1</v>
      </c>
    </row>
    <row r="94" spans="2:20" ht="32">
      <c r="B94" s="61">
        <f t="shared" si="3"/>
        <v>59</v>
      </c>
      <c r="C94" s="58" t="s">
        <v>305</v>
      </c>
      <c r="D94" s="85"/>
      <c r="E94" s="85"/>
      <c r="F94" s="42"/>
      <c r="K94" s="9">
        <v>1</v>
      </c>
      <c r="N94" s="9">
        <v>1</v>
      </c>
      <c r="T94" s="10">
        <v>1</v>
      </c>
    </row>
    <row r="95" spans="2:20" ht="32">
      <c r="B95" s="61">
        <f t="shared" si="3"/>
        <v>60</v>
      </c>
      <c r="C95" s="57" t="s">
        <v>244</v>
      </c>
      <c r="D95" s="84"/>
      <c r="E95" s="84"/>
      <c r="F95" s="42"/>
      <c r="K95" s="9">
        <v>1</v>
      </c>
      <c r="Q95" s="10">
        <v>1</v>
      </c>
      <c r="R95" s="9">
        <v>1</v>
      </c>
    </row>
    <row r="96" spans="2:20" ht="48">
      <c r="B96" s="61">
        <f t="shared" si="3"/>
        <v>61</v>
      </c>
      <c r="C96" s="58" t="s">
        <v>306</v>
      </c>
      <c r="D96" s="85"/>
      <c r="E96" s="85"/>
      <c r="F96" s="42"/>
      <c r="I96" s="9">
        <v>1</v>
      </c>
      <c r="O96" s="9">
        <v>1</v>
      </c>
      <c r="T96" s="10">
        <v>1</v>
      </c>
    </row>
    <row r="97" spans="2:20" ht="32">
      <c r="B97" s="61">
        <f t="shared" si="3"/>
        <v>62</v>
      </c>
      <c r="C97" s="57" t="s">
        <v>307</v>
      </c>
      <c r="D97" s="84"/>
      <c r="E97" s="84"/>
      <c r="F97" s="42"/>
      <c r="K97" s="9">
        <v>1</v>
      </c>
      <c r="P97" s="9">
        <v>1</v>
      </c>
      <c r="Q97" s="10">
        <v>1</v>
      </c>
      <c r="R97" s="9">
        <v>1</v>
      </c>
      <c r="S97" s="9">
        <v>1</v>
      </c>
      <c r="T97" s="10">
        <v>1</v>
      </c>
    </row>
    <row r="98" spans="2:20" ht="48">
      <c r="B98" s="61">
        <f t="shared" si="3"/>
        <v>63</v>
      </c>
      <c r="C98" s="58" t="s">
        <v>308</v>
      </c>
      <c r="D98" s="85"/>
      <c r="E98" s="85"/>
      <c r="F98" s="42"/>
      <c r="K98" s="9">
        <v>1</v>
      </c>
      <c r="N98" s="9">
        <v>1</v>
      </c>
      <c r="R98" s="9">
        <v>1</v>
      </c>
    </row>
    <row r="99" spans="2:20" ht="48">
      <c r="B99" s="61">
        <f t="shared" si="3"/>
        <v>64</v>
      </c>
      <c r="C99" s="57" t="s">
        <v>309</v>
      </c>
      <c r="D99" s="84"/>
      <c r="E99" s="84"/>
      <c r="F99" s="42"/>
      <c r="J99" s="9">
        <v>1</v>
      </c>
      <c r="K99" s="9">
        <v>1</v>
      </c>
      <c r="N99" s="9">
        <v>1</v>
      </c>
      <c r="P99" s="9">
        <v>1</v>
      </c>
      <c r="R99" s="9">
        <v>1</v>
      </c>
      <c r="S99" s="9">
        <v>1</v>
      </c>
    </row>
    <row r="100" spans="2:20" ht="48">
      <c r="B100" s="61">
        <f t="shared" si="3"/>
        <v>65</v>
      </c>
      <c r="C100" s="58" t="s">
        <v>310</v>
      </c>
      <c r="D100" s="85"/>
      <c r="E100" s="85"/>
      <c r="F100" s="42"/>
      <c r="J100" s="9">
        <v>1</v>
      </c>
      <c r="O100" s="9">
        <v>1</v>
      </c>
      <c r="T100" s="10">
        <v>1</v>
      </c>
    </row>
    <row r="101" spans="2:20" ht="64">
      <c r="B101" s="61">
        <f t="shared" si="3"/>
        <v>66</v>
      </c>
      <c r="C101" s="57" t="s">
        <v>311</v>
      </c>
      <c r="D101" s="84"/>
      <c r="E101" s="84"/>
      <c r="F101" s="42"/>
      <c r="H101" s="8">
        <v>1</v>
      </c>
      <c r="Q101" s="10">
        <v>1</v>
      </c>
      <c r="T101" s="10">
        <v>1</v>
      </c>
    </row>
    <row r="102" spans="2:20" ht="32">
      <c r="B102" s="61">
        <f t="shared" si="3"/>
        <v>67</v>
      </c>
      <c r="C102" s="58" t="s">
        <v>245</v>
      </c>
      <c r="D102" s="85"/>
      <c r="E102" s="85"/>
      <c r="F102" s="42"/>
      <c r="H102" s="8">
        <v>1</v>
      </c>
      <c r="J102" s="9">
        <v>1</v>
      </c>
      <c r="N102" s="9">
        <v>1</v>
      </c>
      <c r="Q102" s="10">
        <v>1</v>
      </c>
      <c r="R102" s="9">
        <v>1</v>
      </c>
    </row>
    <row r="103" spans="2:20" ht="49" thickBot="1">
      <c r="B103" s="61">
        <f t="shared" si="3"/>
        <v>68</v>
      </c>
      <c r="C103" s="60" t="s">
        <v>246</v>
      </c>
      <c r="D103" s="87"/>
      <c r="E103" s="87"/>
      <c r="F103" s="42"/>
      <c r="H103" s="8">
        <v>1</v>
      </c>
      <c r="K103" s="9">
        <v>1</v>
      </c>
      <c r="Q103" s="10">
        <v>1</v>
      </c>
      <c r="R103" s="9">
        <v>1</v>
      </c>
      <c r="T103" s="10">
        <v>1</v>
      </c>
    </row>
    <row r="104" spans="2:20" ht="21">
      <c r="B104" s="39"/>
      <c r="C104" s="55"/>
      <c r="D104" s="56"/>
      <c r="E104" s="56"/>
      <c r="F104" s="42"/>
    </row>
    <row r="105" spans="2:20">
      <c r="B105" s="107">
        <f>B103</f>
        <v>68</v>
      </c>
      <c r="C105" s="31" t="s">
        <v>247</v>
      </c>
      <c r="D105" s="32" t="s">
        <v>40</v>
      </c>
      <c r="E105" s="118" t="s">
        <v>424</v>
      </c>
      <c r="F105" s="42"/>
      <c r="H105" s="8" t="s">
        <v>15</v>
      </c>
      <c r="I105" s="9" t="s">
        <v>16</v>
      </c>
      <c r="J105" s="9" t="s">
        <v>17</v>
      </c>
      <c r="K105" s="9" t="s">
        <v>18</v>
      </c>
      <c r="L105" s="9" t="s">
        <v>19</v>
      </c>
      <c r="M105" s="10" t="s">
        <v>20</v>
      </c>
      <c r="N105" s="9" t="s">
        <v>23</v>
      </c>
      <c r="O105" s="9" t="s">
        <v>24</v>
      </c>
      <c r="P105" s="9" t="s">
        <v>25</v>
      </c>
      <c r="Q105" s="10" t="s">
        <v>26</v>
      </c>
      <c r="R105" s="9" t="s">
        <v>28</v>
      </c>
      <c r="S105" s="9" t="s">
        <v>29</v>
      </c>
      <c r="T105" s="10" t="s">
        <v>30</v>
      </c>
    </row>
    <row r="106" spans="2:20" ht="112">
      <c r="B106" s="63">
        <f>B105+1</f>
        <v>69</v>
      </c>
      <c r="C106" s="57" t="s">
        <v>312</v>
      </c>
      <c r="D106" s="84"/>
      <c r="E106" s="84"/>
      <c r="F106" s="42"/>
      <c r="H106" s="8">
        <v>1</v>
      </c>
      <c r="I106" s="9">
        <v>1</v>
      </c>
      <c r="K106" s="9">
        <v>1</v>
      </c>
      <c r="M106" s="10">
        <v>1</v>
      </c>
      <c r="N106" s="9">
        <v>1</v>
      </c>
      <c r="O106" s="9">
        <v>1</v>
      </c>
      <c r="T106" s="10">
        <v>1</v>
      </c>
    </row>
    <row r="107" spans="2:20" ht="48">
      <c r="B107" s="63">
        <f t="shared" ref="B107:B117" si="4">B106+1</f>
        <v>70</v>
      </c>
      <c r="C107" s="58" t="s">
        <v>313</v>
      </c>
      <c r="D107" s="85"/>
      <c r="E107" s="85"/>
      <c r="F107" s="42"/>
      <c r="J107" s="9">
        <v>1</v>
      </c>
      <c r="L107" s="9">
        <v>1</v>
      </c>
      <c r="M107" s="10">
        <v>1</v>
      </c>
      <c r="O107" s="9">
        <v>1</v>
      </c>
      <c r="Q107" s="10">
        <v>1</v>
      </c>
      <c r="T107" s="10">
        <v>1</v>
      </c>
    </row>
    <row r="108" spans="2:20" ht="96">
      <c r="B108" s="63">
        <f t="shared" si="4"/>
        <v>71</v>
      </c>
      <c r="C108" s="57" t="s">
        <v>314</v>
      </c>
      <c r="D108" s="84"/>
      <c r="E108" s="84"/>
      <c r="F108" s="42"/>
      <c r="J108" s="9">
        <v>1</v>
      </c>
      <c r="O108" s="9">
        <v>1</v>
      </c>
      <c r="T108" s="10">
        <v>1</v>
      </c>
    </row>
    <row r="109" spans="2:20" ht="96">
      <c r="B109" s="63">
        <f t="shared" si="4"/>
        <v>72</v>
      </c>
      <c r="C109" s="58" t="s">
        <v>248</v>
      </c>
      <c r="D109" s="85"/>
      <c r="E109" s="85"/>
      <c r="F109" s="42"/>
      <c r="H109" s="8">
        <v>1</v>
      </c>
      <c r="N109" s="9">
        <v>1</v>
      </c>
      <c r="T109" s="10">
        <v>1</v>
      </c>
    </row>
    <row r="110" spans="2:20" ht="32">
      <c r="B110" s="63">
        <f t="shared" si="4"/>
        <v>73</v>
      </c>
      <c r="C110" s="57" t="s">
        <v>315</v>
      </c>
      <c r="D110" s="84"/>
      <c r="E110" s="84"/>
      <c r="F110" s="42"/>
      <c r="H110" s="8">
        <v>1</v>
      </c>
      <c r="K110" s="9">
        <v>1</v>
      </c>
      <c r="Q110" s="10">
        <v>1</v>
      </c>
      <c r="T110" s="10">
        <v>1</v>
      </c>
    </row>
    <row r="111" spans="2:20" ht="48">
      <c r="B111" s="63">
        <f t="shared" si="4"/>
        <v>74</v>
      </c>
      <c r="C111" s="58" t="s">
        <v>249</v>
      </c>
      <c r="D111" s="85"/>
      <c r="E111" s="85"/>
      <c r="F111" s="42"/>
      <c r="I111" s="9">
        <v>1</v>
      </c>
      <c r="Q111" s="10">
        <v>1</v>
      </c>
      <c r="T111" s="10">
        <v>1</v>
      </c>
    </row>
    <row r="112" spans="2:20" ht="32">
      <c r="B112" s="63">
        <f t="shared" si="4"/>
        <v>75</v>
      </c>
      <c r="C112" s="57" t="s">
        <v>250</v>
      </c>
      <c r="D112" s="84"/>
      <c r="E112" s="84"/>
      <c r="F112" s="42"/>
      <c r="L112" s="9">
        <v>1</v>
      </c>
      <c r="Q112" s="10">
        <v>1</v>
      </c>
      <c r="T112" s="10">
        <v>1</v>
      </c>
    </row>
    <row r="113" spans="1:20" ht="48">
      <c r="B113" s="63">
        <f t="shared" si="4"/>
        <v>76</v>
      </c>
      <c r="C113" s="58" t="s">
        <v>316</v>
      </c>
      <c r="D113" s="85"/>
      <c r="E113" s="85"/>
      <c r="F113" s="42"/>
      <c r="I113" s="9">
        <v>1</v>
      </c>
      <c r="Q113" s="10">
        <v>1</v>
      </c>
      <c r="S113" s="9">
        <v>1</v>
      </c>
    </row>
    <row r="114" spans="1:20" ht="32">
      <c r="B114" s="63">
        <f t="shared" si="4"/>
        <v>77</v>
      </c>
      <c r="C114" s="57" t="s">
        <v>317</v>
      </c>
      <c r="D114" s="84"/>
      <c r="E114" s="84"/>
      <c r="F114" s="42"/>
      <c r="L114" s="9">
        <v>1</v>
      </c>
      <c r="O114" s="9">
        <v>1</v>
      </c>
      <c r="P114" s="9">
        <v>1</v>
      </c>
      <c r="T114" s="10">
        <v>1</v>
      </c>
    </row>
    <row r="115" spans="1:20" ht="48">
      <c r="B115" s="63">
        <f t="shared" si="4"/>
        <v>78</v>
      </c>
      <c r="C115" s="58" t="s">
        <v>251</v>
      </c>
      <c r="D115" s="85"/>
      <c r="E115" s="85"/>
      <c r="F115" s="42"/>
      <c r="I115" s="9">
        <v>1</v>
      </c>
      <c r="Q115" s="10">
        <v>1</v>
      </c>
      <c r="T115" s="10">
        <v>1</v>
      </c>
    </row>
    <row r="116" spans="1:20" ht="80">
      <c r="B116" s="63">
        <f t="shared" si="4"/>
        <v>79</v>
      </c>
      <c r="C116" s="57" t="s">
        <v>271</v>
      </c>
      <c r="D116" s="84"/>
      <c r="E116" s="84"/>
      <c r="F116" s="42"/>
      <c r="J116" s="9">
        <v>1</v>
      </c>
      <c r="Q116" s="10">
        <v>1</v>
      </c>
      <c r="R116" s="9">
        <v>1</v>
      </c>
    </row>
    <row r="117" spans="1:20" ht="49" thickBot="1">
      <c r="B117" s="63">
        <f t="shared" si="4"/>
        <v>80</v>
      </c>
      <c r="C117" s="59" t="s">
        <v>252</v>
      </c>
      <c r="D117" s="86"/>
      <c r="E117" s="86"/>
      <c r="F117" s="42"/>
      <c r="I117" s="9">
        <v>1</v>
      </c>
      <c r="Q117" s="10">
        <v>1</v>
      </c>
      <c r="T117" s="10">
        <v>1</v>
      </c>
    </row>
    <row r="118" spans="1:20">
      <c r="B118" s="64"/>
      <c r="C118" s="142" t="s">
        <v>328</v>
      </c>
      <c r="D118" s="142"/>
      <c r="E118" s="138"/>
      <c r="F118" s="67"/>
    </row>
    <row r="119" spans="1:20" s="12" customFormat="1">
      <c r="A119" s="4"/>
      <c r="C119" s="17"/>
      <c r="D119" s="9"/>
      <c r="E119" s="9"/>
      <c r="G119" s="4"/>
      <c r="H119" s="9"/>
      <c r="I119" s="9"/>
      <c r="J119" s="9"/>
      <c r="K119" s="9"/>
      <c r="L119" s="9"/>
      <c r="M119" s="9"/>
      <c r="N119" s="9"/>
      <c r="O119" s="9"/>
      <c r="P119" s="9"/>
      <c r="Q119" s="9"/>
      <c r="R119" s="9"/>
      <c r="S119" s="9"/>
      <c r="T119" s="9"/>
    </row>
    <row r="120" spans="1:20" hidden="1">
      <c r="B120" s="53"/>
      <c r="F120" s="54"/>
    </row>
    <row r="121" spans="1:20" hidden="1">
      <c r="B121" s="53"/>
      <c r="F121" s="54"/>
    </row>
    <row r="122" spans="1:20" hidden="1">
      <c r="B122" s="53"/>
      <c r="F122" s="54"/>
    </row>
  </sheetData>
  <sheetProtection sheet="1" objects="1" scenarios="1"/>
  <mergeCells count="14">
    <mergeCell ref="C118:D118"/>
    <mergeCell ref="C8:D8"/>
    <mergeCell ref="C18:D18"/>
    <mergeCell ref="C19:D19"/>
    <mergeCell ref="C3:E3"/>
    <mergeCell ref="C4:E4"/>
    <mergeCell ref="C15:E15"/>
    <mergeCell ref="C16:E16"/>
    <mergeCell ref="C17:E17"/>
    <mergeCell ref="C7:E7"/>
    <mergeCell ref="C11:E11"/>
    <mergeCell ref="C12:E12"/>
    <mergeCell ref="C13:E13"/>
    <mergeCell ref="C14:E14"/>
  </mergeCells>
  <dataValidations count="2">
    <dataValidation type="list" allowBlank="1" showInputMessage="1" showErrorMessage="1" sqref="D27:E27" xr:uid="{F5AED12B-0397-E94D-BEE6-2BC9B21F74F7}">
      <formula1>"Yes,No"</formula1>
    </dataValidation>
    <dataValidation type="decimal" allowBlank="1" showInputMessage="1" showErrorMessage="1" sqref="D85:E102 D74:E81 D57:E71 D106:E117 D30:E54" xr:uid="{484BD951-A7F9-384D-A572-56F4432152B5}">
      <formula1>0</formula1>
      <formula2>3</formula2>
    </dataValidation>
  </dataValidations>
  <hyperlinks>
    <hyperlink ref="C8" r:id="rId1" display="(1) https://www.c40knowledgehub.org/s/article/Clean-air-healthy-and-thriving-communities-Opportunities-for-city-leadership" xr:uid="{87BD1F18-C19B-DF49-AC8F-46C34D6579DB}"/>
    <hyperlink ref="C18:D18" location="Definitions!A1" display="(1) Additional descriptions on categories, domains, and themes of equity used throughout this tool" xr:uid="{A16E677C-5101-6245-962F-9455C971A3CE}"/>
    <hyperlink ref="C118:D118" location="Scoring!A1" display="Finished? Visit the 'Scoring' tab to see your results" xr:uid="{33AD16CF-1B09-0E4E-9444-D40CF19897C3}"/>
  </hyperlinks>
  <pageMargins left="0.7" right="0.7" top="0.75" bottom="0.75" header="0.3" footer="0.3"/>
  <pageSetup scale="63" fitToHeight="2" orientation="portrait" horizontalDpi="0" verticalDpi="0"/>
  <rowBreaks count="7" manualBreakCount="7">
    <brk id="19" max="6" man="1"/>
    <brk id="36" max="6" man="1"/>
    <brk id="47" max="6" man="1"/>
    <brk id="58" max="6" man="1"/>
    <brk id="72" max="6" man="1"/>
    <brk id="83" max="5" man="1"/>
    <brk id="104" max="5"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8F156D09-E598-2045-AC66-26AF7A0E4B7A}">
          <x14:formula1>
            <xm:f>'c40_cities'!$C$2:$C$99</xm:f>
          </x14:formula1>
          <xm:sqref>D23:E23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825BE-CA8F-CC40-B911-9089D44CC5D1}">
  <dimension ref="A1:S75"/>
  <sheetViews>
    <sheetView zoomScaleNormal="100" workbookViewId="0"/>
  </sheetViews>
  <sheetFormatPr baseColWidth="10" defaultColWidth="0" defaultRowHeight="15" zeroHeight="1"/>
  <cols>
    <col min="1" max="1" width="2.5" style="18" customWidth="1"/>
    <col min="2" max="3" width="20.83203125" style="6" customWidth="1"/>
    <col min="4" max="4" width="23.33203125" style="6" customWidth="1"/>
    <col min="5" max="6" width="20.83203125" style="6" customWidth="1"/>
    <col min="7" max="7" width="2.5" style="18" customWidth="1"/>
    <col min="8" max="11" width="0" style="6" hidden="1" customWidth="1"/>
    <col min="12" max="16384" width="10.83203125" style="6" hidden="1"/>
  </cols>
  <sheetData>
    <row r="1" spans="1:19" s="3" customFormat="1" ht="15" customHeight="1">
      <c r="A1" s="2"/>
      <c r="B1" s="2"/>
      <c r="C1" s="2"/>
      <c r="D1" s="2"/>
      <c r="F1" s="2"/>
      <c r="G1" s="8"/>
      <c r="H1" s="9" t="s">
        <v>16</v>
      </c>
      <c r="I1" s="9" t="s">
        <v>17</v>
      </c>
      <c r="J1" s="9" t="s">
        <v>18</v>
      </c>
      <c r="K1" s="9" t="s">
        <v>19</v>
      </c>
      <c r="L1" s="10" t="s">
        <v>20</v>
      </c>
      <c r="M1" s="9" t="s">
        <v>23</v>
      </c>
      <c r="N1" s="9" t="s">
        <v>24</v>
      </c>
      <c r="O1" s="9" t="s">
        <v>25</v>
      </c>
      <c r="P1" s="10" t="s">
        <v>26</v>
      </c>
      <c r="Q1" s="9" t="s">
        <v>28</v>
      </c>
      <c r="R1" s="9" t="s">
        <v>29</v>
      </c>
      <c r="S1" s="10" t="s">
        <v>30</v>
      </c>
    </row>
    <row r="2" spans="1:19" s="5" customFormat="1" ht="15" customHeight="1" thickBot="1">
      <c r="A2" s="112"/>
      <c r="B2" s="38"/>
      <c r="C2" s="37"/>
      <c r="D2" s="37"/>
      <c r="E2" s="37"/>
      <c r="F2" s="125"/>
      <c r="G2" s="12"/>
      <c r="H2" s="12"/>
      <c r="I2" s="12"/>
      <c r="J2" s="12"/>
      <c r="K2" s="12"/>
      <c r="L2" s="13"/>
      <c r="M2" s="12"/>
      <c r="N2" s="12"/>
      <c r="O2" s="12"/>
      <c r="P2" s="13"/>
      <c r="Q2" s="12"/>
      <c r="R2" s="12"/>
      <c r="S2" s="13"/>
    </row>
    <row r="3" spans="1:19" s="5" customFormat="1" ht="73" customHeight="1" thickBot="1">
      <c r="A3" s="4"/>
      <c r="B3" s="39"/>
      <c r="C3" s="145" t="s">
        <v>1</v>
      </c>
      <c r="D3" s="146"/>
      <c r="E3" s="147"/>
      <c r="F3" s="126"/>
      <c r="G3" s="12"/>
      <c r="H3" s="12"/>
      <c r="I3" s="12"/>
      <c r="J3" s="12"/>
      <c r="K3" s="12"/>
      <c r="L3" s="13"/>
      <c r="M3" s="12"/>
      <c r="N3" s="12"/>
      <c r="O3" s="12"/>
      <c r="P3" s="13"/>
      <c r="Q3" s="12"/>
      <c r="R3" s="12"/>
      <c r="S3" s="13"/>
    </row>
    <row r="4" spans="1:19" s="5" customFormat="1" ht="19">
      <c r="A4" s="4"/>
      <c r="B4" s="64"/>
      <c r="C4" s="163" t="s">
        <v>332</v>
      </c>
      <c r="D4" s="163"/>
      <c r="E4" s="163"/>
      <c r="F4" s="127"/>
      <c r="G4" s="12"/>
      <c r="H4" s="12"/>
      <c r="I4" s="12"/>
      <c r="J4" s="12"/>
      <c r="K4" s="12"/>
      <c r="L4" s="13"/>
      <c r="M4" s="12"/>
      <c r="N4" s="12"/>
      <c r="O4" s="12"/>
      <c r="P4" s="13"/>
      <c r="Q4" s="12"/>
      <c r="R4" s="12"/>
      <c r="S4" s="13"/>
    </row>
    <row r="5" spans="1:19" s="17" customFormat="1">
      <c r="A5" s="16" t="s">
        <v>0</v>
      </c>
      <c r="B5" s="17" t="str">
        <f>"EQuiPD Self-Assessment Scores: "&amp;IF('Self-Assessment'!$D$23="Not listed",'Self-Assessment'!$D$24,'Self-Assessment'!$D$23)&amp;" "&amp;'Self-Assessment'!D$26</f>
        <v xml:space="preserve">EQuiPD Self-Assessment Scores:  </v>
      </c>
      <c r="G5" s="16" t="s">
        <v>0</v>
      </c>
    </row>
    <row r="6" spans="1:19" ht="377" customHeight="1">
      <c r="B6" s="128"/>
      <c r="C6" s="129"/>
      <c r="D6" s="129"/>
      <c r="E6" s="129"/>
      <c r="F6" s="130"/>
    </row>
    <row r="7" spans="1:19" s="17" customFormat="1" ht="16" customHeight="1">
      <c r="A7" s="16" t="s">
        <v>0</v>
      </c>
      <c r="B7" s="17" t="str">
        <f>"EQuiPD Self-Assessment Scores: "&amp;IF('Self-Assessment'!$D$23="Not listed",'Self-Assessment'!$D$24,'Self-Assessment'!$D$23)&amp;" "&amp;'Self-Assessment'!D$26</f>
        <v xml:space="preserve">EQuiPD Self-Assessment Scores:  </v>
      </c>
      <c r="E7" s="161" t="s">
        <v>329</v>
      </c>
      <c r="F7" s="161"/>
      <c r="G7" s="16" t="s">
        <v>0</v>
      </c>
    </row>
    <row r="8" spans="1:19" ht="19">
      <c r="B8" s="19" t="s">
        <v>5</v>
      </c>
      <c r="C8" s="20"/>
      <c r="D8" s="20"/>
      <c r="E8" s="20"/>
      <c r="F8" s="20"/>
    </row>
    <row r="9" spans="1:19" ht="96" customHeight="1">
      <c r="B9" s="156" t="s">
        <v>39</v>
      </c>
      <c r="C9" s="156"/>
      <c r="D9" s="156"/>
      <c r="E9" s="156"/>
      <c r="F9" s="156"/>
    </row>
    <row r="10" spans="1:19" ht="16" customHeight="1">
      <c r="B10" s="20"/>
      <c r="C10" s="20"/>
      <c r="D10" s="162" t="s">
        <v>330</v>
      </c>
      <c r="E10" s="162"/>
      <c r="F10" s="162"/>
    </row>
    <row r="11" spans="1:19">
      <c r="B11" s="21"/>
      <c r="C11" s="164" t="s">
        <v>31</v>
      </c>
      <c r="D11" s="164"/>
      <c r="E11" s="164"/>
      <c r="F11" s="22"/>
    </row>
    <row r="12" spans="1:19" ht="32">
      <c r="B12" s="23" t="s">
        <v>22</v>
      </c>
      <c r="C12" s="24" t="s">
        <v>36</v>
      </c>
      <c r="D12" s="24" t="s">
        <v>37</v>
      </c>
      <c r="E12" s="24" t="s">
        <v>38</v>
      </c>
      <c r="F12" s="50" t="s">
        <v>216</v>
      </c>
    </row>
    <row r="13" spans="1:19" ht="33" customHeight="1">
      <c r="B13" s="25" t="s">
        <v>32</v>
      </c>
      <c r="C13" s="47" t="str">
        <f>IFERROR(AVERAGEIFS('Self-Assessment'!D$29:D$313,'Self-Assessment'!H$29:H$313,1,'Self-Assessment'!N$29:N$313,1,'Self-Assessment'!R$29:R$313,1),"")</f>
        <v/>
      </c>
      <c r="D13" s="47" t="str">
        <f>IFERROR(AVERAGEIFS('Self-Assessment'!D$29:D$313,'Self-Assessment'!H$29:H$313,1,'Self-Assessment'!N$29:N$313,1,'Self-Assessment'!S$29:S$313,1),"")</f>
        <v/>
      </c>
      <c r="E13" s="47" t="str">
        <f>IFERROR(AVERAGEIFS('Self-Assessment'!D$29:D$313,'Self-Assessment'!H$29:H$313,1,'Self-Assessment'!N$29:N$313,1,'Self-Assessment'!T$29:T$313,1),"")</f>
        <v/>
      </c>
      <c r="F13" s="109" t="str">
        <f>IFERROR(AVERAGEIFS('Self-Assessment'!D$29:D$313,'Self-Assessment'!H$29:H$313,1,'Self-Assessment'!N$29:N$313,1),"")</f>
        <v/>
      </c>
    </row>
    <row r="14" spans="1:19" ht="33" customHeight="1">
      <c r="B14" s="26" t="s">
        <v>33</v>
      </c>
      <c r="C14" s="48" t="str">
        <f>IFERROR(AVERAGEIFS('Self-Assessment'!D$29:D$313,'Self-Assessment'!H$29:H$313,1,'Self-Assessment'!O$29:O$313,1,'Self-Assessment'!R$29:R$313,1),"")</f>
        <v/>
      </c>
      <c r="D14" s="48" t="str">
        <f>IFERROR(AVERAGEIFS('Self-Assessment'!D$29:D$313,'Self-Assessment'!H$29:H$313,1,'Self-Assessment'!O$29:O$313,1,'Self-Assessment'!S$29:S$313,1),"")</f>
        <v/>
      </c>
      <c r="E14" s="48" t="str">
        <f>IFERROR(AVERAGEIFS('Self-Assessment'!D$29:D$313,'Self-Assessment'!H$29:H$313,1,'Self-Assessment'!O$29:O$313,1,'Self-Assessment'!T$29:T$313,1),"")</f>
        <v/>
      </c>
      <c r="F14" s="110" t="str">
        <f>IFERROR(AVERAGEIFS('Self-Assessment'!D$29:D$313,'Self-Assessment'!H$29:H$313,1,'Self-Assessment'!O$29:O$313,1),"")</f>
        <v/>
      </c>
    </row>
    <row r="15" spans="1:19" ht="33" customHeight="1">
      <c r="B15" s="26" t="s">
        <v>34</v>
      </c>
      <c r="C15" s="48" t="str">
        <f>IFERROR(AVERAGEIFS('Self-Assessment'!D$29:D$313,'Self-Assessment'!H$29:H$313,1,'Self-Assessment'!P$29:P$313,1,'Self-Assessment'!R$29:R$313,1),"")</f>
        <v/>
      </c>
      <c r="D15" s="48" t="str">
        <f>IFERROR(AVERAGEIFS('Self-Assessment'!D$29:D$313,'Self-Assessment'!H$29:H$313,1,'Self-Assessment'!P$29:P$313,1,'Self-Assessment'!S$29:S$313,1),"")</f>
        <v/>
      </c>
      <c r="E15" s="48" t="str">
        <f>IFERROR(AVERAGEIFS('Self-Assessment'!D$29:D$313,'Self-Assessment'!H$29:H$313,1,'Self-Assessment'!P$29:P$313,1,'Self-Assessment'!T$29:T$313,1),"")</f>
        <v/>
      </c>
      <c r="F15" s="110" t="str">
        <f>IFERROR(AVERAGEIFS('Self-Assessment'!D$29:D$313,'Self-Assessment'!H$29:H$313,1,'Self-Assessment'!P$29:P$313,1),"")</f>
        <v/>
      </c>
    </row>
    <row r="16" spans="1:19" ht="33" customHeight="1" thickBot="1">
      <c r="B16" s="27" t="s">
        <v>35</v>
      </c>
      <c r="C16" s="49" t="str">
        <f>IFERROR(AVERAGEIFS('Self-Assessment'!D$29:D$313,'Self-Assessment'!H$29:H$313,1,'Self-Assessment'!Q$29:Q$313,1,'Self-Assessment'!R$29:R$313,1),"")</f>
        <v/>
      </c>
      <c r="D16" s="49" t="str">
        <f>IFERROR(AVERAGEIFS('Self-Assessment'!D$29:D$313,'Self-Assessment'!H$29:H$313,1,'Self-Assessment'!Q$29:Q$313,1,'Self-Assessment'!S$29:S$313,1),"")</f>
        <v/>
      </c>
      <c r="E16" s="49" t="str">
        <f>IFERROR(AVERAGEIFS('Self-Assessment'!D$29:D$313,'Self-Assessment'!H$29:H$313,1,'Self-Assessment'!Q$29:Q$313,1,'Self-Assessment'!T$29:T$313,1),"")</f>
        <v/>
      </c>
      <c r="F16" s="111" t="str">
        <f>IFERROR(AVERAGEIFS('Self-Assessment'!D$29:D$313,'Self-Assessment'!H$29:H$313,1,'Self-Assessment'!Q$29:Q$313,1),"")</f>
        <v/>
      </c>
    </row>
    <row r="17" spans="2:6" ht="33" customHeight="1" thickTop="1" thickBot="1">
      <c r="B17" s="51" t="s">
        <v>216</v>
      </c>
      <c r="C17" s="110" t="str">
        <f>IFERROR(AVERAGEIFS('Self-Assessment'!D$29:D$313,'Self-Assessment'!H$29:H$313,1,'Self-Assessment'!R$29:R$313,1),"")</f>
        <v/>
      </c>
      <c r="D17" s="110" t="str">
        <f>IFERROR(AVERAGEIFS('Self-Assessment'!D$29:D$313,'Self-Assessment'!H$29:H$313,1,'Self-Assessment'!S$29:S$313,1),"")</f>
        <v/>
      </c>
      <c r="E17" s="110" t="str">
        <f>IFERROR(AVERAGEIFS('Self-Assessment'!D$29:D$313,'Self-Assessment'!H$29:H$313,1,'Self-Assessment'!T$29:T$313,1),"")</f>
        <v/>
      </c>
      <c r="F17" s="108" t="str">
        <f>IFERROR(AVERAGEIFS('Self-Assessment'!D$29:D$313,'Self-Assessment'!H$29:H$313,1),"")</f>
        <v/>
      </c>
    </row>
    <row r="18" spans="2:6">
      <c r="B18" s="17"/>
      <c r="C18" s="17"/>
      <c r="D18" s="17"/>
      <c r="E18" s="17"/>
      <c r="F18" s="17"/>
    </row>
    <row r="19" spans="2:6" ht="19">
      <c r="B19" s="19" t="s">
        <v>6</v>
      </c>
      <c r="C19" s="20"/>
      <c r="D19" s="20"/>
      <c r="E19" s="20"/>
      <c r="F19" s="20"/>
    </row>
    <row r="20" spans="2:6" ht="127" customHeight="1">
      <c r="B20" s="156" t="s">
        <v>41</v>
      </c>
      <c r="C20" s="156"/>
      <c r="D20" s="156"/>
      <c r="E20" s="156"/>
      <c r="F20" s="156"/>
    </row>
    <row r="21" spans="2:6">
      <c r="B21" s="20"/>
      <c r="C21" s="20"/>
      <c r="D21" s="20"/>
      <c r="E21" s="20"/>
      <c r="F21" s="20"/>
    </row>
    <row r="22" spans="2:6">
      <c r="B22" s="21"/>
      <c r="C22" s="164" t="s">
        <v>31</v>
      </c>
      <c r="D22" s="164"/>
      <c r="E22" s="164"/>
      <c r="F22" s="22"/>
    </row>
    <row r="23" spans="2:6" ht="32">
      <c r="B23" s="23" t="s">
        <v>22</v>
      </c>
      <c r="C23" s="24" t="s">
        <v>36</v>
      </c>
      <c r="D23" s="24" t="s">
        <v>37</v>
      </c>
      <c r="E23" s="24" t="s">
        <v>38</v>
      </c>
      <c r="F23" s="50" t="s">
        <v>216</v>
      </c>
    </row>
    <row r="24" spans="2:6" ht="33" customHeight="1">
      <c r="B24" s="25" t="s">
        <v>32</v>
      </c>
      <c r="C24" s="47" t="str">
        <f>IFERROR(AVERAGEIFS('Self-Assessment'!D$29:D$313,'Self-Assessment'!I$29:I$313,1,'Self-Assessment'!N$29:N$313,1,'Self-Assessment'!R$29:R$313,1),"")</f>
        <v/>
      </c>
      <c r="D24" s="47" t="str">
        <f>IFERROR(AVERAGEIFS('Self-Assessment'!D$29:D$313,'Self-Assessment'!I$29:I$313,1,'Self-Assessment'!N$29:N$313,1,'Self-Assessment'!S$29:S$313,1),"")</f>
        <v/>
      </c>
      <c r="E24" s="47" t="str">
        <f>IFERROR(AVERAGEIFS('Self-Assessment'!D$29:D$313,'Self-Assessment'!I$29:I$313,1,'Self-Assessment'!N$29:N$313,1,'Self-Assessment'!T$29:T$313,1),"")</f>
        <v/>
      </c>
      <c r="F24" s="109" t="str">
        <f>IFERROR(AVERAGEIFS('Self-Assessment'!D$29:D$313,'Self-Assessment'!I$29:I$313,1,'Self-Assessment'!N$29:N$313,1),"")</f>
        <v/>
      </c>
    </row>
    <row r="25" spans="2:6" ht="33" customHeight="1">
      <c r="B25" s="26" t="s">
        <v>33</v>
      </c>
      <c r="C25" s="48" t="str">
        <f>IFERROR(AVERAGEIFS('Self-Assessment'!D$29:D$313,'Self-Assessment'!I$29:I$313,1,'Self-Assessment'!O$29:O$313,1,'Self-Assessment'!R$29:R$313,1),"")</f>
        <v/>
      </c>
      <c r="D25" s="48" t="str">
        <f>IFERROR(AVERAGEIFS('Self-Assessment'!D$29:D$313,'Self-Assessment'!I$29:I$313,1,'Self-Assessment'!O$29:O$313,1,'Self-Assessment'!S$29:S$313,1),"")</f>
        <v/>
      </c>
      <c r="E25" s="48" t="str">
        <f>IFERROR(AVERAGEIFS('Self-Assessment'!D$29:D$313,'Self-Assessment'!I$29:I$313,1,'Self-Assessment'!O$29:O$313,1,'Self-Assessment'!T$29:T$313,1),"")</f>
        <v/>
      </c>
      <c r="F25" s="110" t="str">
        <f>IFERROR(AVERAGEIFS('Self-Assessment'!D$29:D$313,'Self-Assessment'!I$29:I$313,1,'Self-Assessment'!O$29:O$313,1),"")</f>
        <v/>
      </c>
    </row>
    <row r="26" spans="2:6" ht="33" customHeight="1">
      <c r="B26" s="26" t="s">
        <v>34</v>
      </c>
      <c r="C26" s="48" t="str">
        <f>IFERROR(AVERAGEIFS('Self-Assessment'!D$29:D$313,'Self-Assessment'!I$29:I$313,1,'Self-Assessment'!P$29:P$313,1,'Self-Assessment'!R$29:R$313,1),"")</f>
        <v/>
      </c>
      <c r="D26" s="48" t="str">
        <f>IFERROR(AVERAGEIFS('Self-Assessment'!D$29:D$313,'Self-Assessment'!I$29:I$313,1,'Self-Assessment'!P$29:P$313,1,'Self-Assessment'!S$29:S$313,1),"")</f>
        <v/>
      </c>
      <c r="E26" s="48" t="str">
        <f>IFERROR(AVERAGEIFS('Self-Assessment'!D$29:D$313,'Self-Assessment'!I$29:I$313,1,'Self-Assessment'!P$29:P$313,1,'Self-Assessment'!T$29:T$313,1),"")</f>
        <v/>
      </c>
      <c r="F26" s="110" t="str">
        <f>IFERROR(AVERAGEIFS('Self-Assessment'!D$29:D$313,'Self-Assessment'!I$29:I$313,1,'Self-Assessment'!P$29:P$313,1),"")</f>
        <v/>
      </c>
    </row>
    <row r="27" spans="2:6" ht="33" customHeight="1" thickBot="1">
      <c r="B27" s="27" t="s">
        <v>35</v>
      </c>
      <c r="C27" s="49" t="str">
        <f>IFERROR(AVERAGEIFS('Self-Assessment'!D$29:D$313,'Self-Assessment'!I$29:I$313,1,'Self-Assessment'!Q$29:Q$313,1,'Self-Assessment'!R$29:R$313,1),"")</f>
        <v/>
      </c>
      <c r="D27" s="49" t="str">
        <f>IFERROR(AVERAGEIFS('Self-Assessment'!D$29:D$313,'Self-Assessment'!I$29:I$313,1,'Self-Assessment'!Q$29:Q$313,1,'Self-Assessment'!S$29:S$313,1),"")</f>
        <v/>
      </c>
      <c r="E27" s="49" t="str">
        <f>IFERROR(AVERAGEIFS('Self-Assessment'!D$29:D$313,'Self-Assessment'!I$29:I$313,1,'Self-Assessment'!Q$29:Q$313,1,'Self-Assessment'!T$29:T$313,1),"")</f>
        <v/>
      </c>
      <c r="F27" s="111" t="str">
        <f>IFERROR(AVERAGEIFS('Self-Assessment'!D$29:D$313,'Self-Assessment'!I$29:I$313,1,'Self-Assessment'!Q$29:Q$313,1),"")</f>
        <v/>
      </c>
    </row>
    <row r="28" spans="2:6" ht="33" customHeight="1" thickTop="1" thickBot="1">
      <c r="B28" s="51" t="s">
        <v>216</v>
      </c>
      <c r="C28" s="110" t="str">
        <f>IFERROR(AVERAGEIFS('Self-Assessment'!D$29:D$313,'Self-Assessment'!I$29:I$313,1,'Self-Assessment'!R$29:R$313,1),"")</f>
        <v/>
      </c>
      <c r="D28" s="110" t="str">
        <f>IFERROR(AVERAGEIFS('Self-Assessment'!D$29:D$313,'Self-Assessment'!I$29:I$313,1,'Self-Assessment'!S$29:S$313,1),"")</f>
        <v/>
      </c>
      <c r="E28" s="110" t="str">
        <f>IFERROR(AVERAGEIFS('Self-Assessment'!D$29:D$313,'Self-Assessment'!I$29:I$313,1,'Self-Assessment'!T$29:T$313,1),"")</f>
        <v/>
      </c>
      <c r="F28" s="108" t="str">
        <f>IFERROR(AVERAGEIFS('Self-Assessment'!D$29:D$313,'Self-Assessment'!I$29:I$313,1),"")</f>
        <v/>
      </c>
    </row>
    <row r="29" spans="2:6">
      <c r="B29" s="17"/>
      <c r="C29" s="17"/>
      <c r="D29" s="17"/>
      <c r="E29" s="17"/>
      <c r="F29" s="17"/>
    </row>
    <row r="30" spans="2:6">
      <c r="B30" s="17" t="str">
        <f>"EQuiPD Self-Assessment Scores: "&amp;IF('Self-Assessment'!$D$23="Not listed",'Self-Assessment'!$D$24,'Self-Assessment'!$D$23)&amp;" "&amp;'Self-Assessment'!D$26</f>
        <v xml:space="preserve">EQuiPD Self-Assessment Scores:  </v>
      </c>
      <c r="C30" s="17"/>
      <c r="D30" s="17"/>
      <c r="E30" s="17"/>
      <c r="F30" s="17"/>
    </row>
    <row r="31" spans="2:6" ht="19">
      <c r="B31" s="19" t="s">
        <v>7</v>
      </c>
      <c r="C31" s="20"/>
      <c r="D31" s="20"/>
      <c r="E31" s="20"/>
      <c r="F31" s="20"/>
    </row>
    <row r="32" spans="2:6" ht="155" customHeight="1">
      <c r="B32" s="156" t="s">
        <v>42</v>
      </c>
      <c r="C32" s="156"/>
      <c r="D32" s="156"/>
      <c r="E32" s="156"/>
      <c r="F32" s="156"/>
    </row>
    <row r="33" spans="2:6">
      <c r="B33" s="20"/>
      <c r="C33" s="20"/>
      <c r="D33" s="20"/>
      <c r="E33" s="20"/>
      <c r="F33" s="20"/>
    </row>
    <row r="34" spans="2:6">
      <c r="B34" s="21"/>
      <c r="C34" s="164" t="s">
        <v>31</v>
      </c>
      <c r="D34" s="164"/>
      <c r="E34" s="164"/>
      <c r="F34" s="22"/>
    </row>
    <row r="35" spans="2:6" ht="32">
      <c r="B35" s="23" t="s">
        <v>22</v>
      </c>
      <c r="C35" s="24" t="s">
        <v>36</v>
      </c>
      <c r="D35" s="24" t="s">
        <v>37</v>
      </c>
      <c r="E35" s="24" t="s">
        <v>38</v>
      </c>
      <c r="F35" s="50" t="s">
        <v>216</v>
      </c>
    </row>
    <row r="36" spans="2:6" ht="33" customHeight="1">
      <c r="B36" s="25" t="s">
        <v>32</v>
      </c>
      <c r="C36" s="47" t="str">
        <f>IFERROR(AVERAGEIFS('Self-Assessment'!D$29:D$313,'Self-Assessment'!J$29:J$313,1,'Self-Assessment'!N$29:N$313,1,'Self-Assessment'!R$29:R$313,1),"")</f>
        <v/>
      </c>
      <c r="D36" s="47" t="str">
        <f>IFERROR(AVERAGEIFS('Self-Assessment'!D$29:D$313,'Self-Assessment'!J$29:J$313,1,'Self-Assessment'!N$29:N$313,1,'Self-Assessment'!S$29:S$313,1),"")</f>
        <v/>
      </c>
      <c r="E36" s="47" t="str">
        <f>IFERROR(AVERAGEIFS('Self-Assessment'!D$29:D$313,'Self-Assessment'!J$29:J$313,1,'Self-Assessment'!N$29:N$313,1,'Self-Assessment'!T$29:T$313,1),"")</f>
        <v/>
      </c>
      <c r="F36" s="109" t="str">
        <f>IFERROR(AVERAGEIFS('Self-Assessment'!D$29:D$313,'Self-Assessment'!J$29:J$313,1,'Self-Assessment'!N$29:N$313,1),"")</f>
        <v/>
      </c>
    </row>
    <row r="37" spans="2:6" ht="33" customHeight="1">
      <c r="B37" s="26" t="s">
        <v>33</v>
      </c>
      <c r="C37" s="48" t="str">
        <f>IFERROR(AVERAGEIFS('Self-Assessment'!D$29:D$313,'Self-Assessment'!J$29:J$313,1,'Self-Assessment'!O$29:O$313,1,'Self-Assessment'!R$29:R$313,1),"")</f>
        <v/>
      </c>
      <c r="D37" s="48" t="str">
        <f>IFERROR(AVERAGEIFS('Self-Assessment'!D$29:D$313,'Self-Assessment'!J$29:J$313,1,'Self-Assessment'!O$29:O$313,1,'Self-Assessment'!S$29:S$313,1),"")</f>
        <v/>
      </c>
      <c r="E37" s="48" t="str">
        <f>IFERROR(AVERAGEIFS('Self-Assessment'!D$29:D$313,'Self-Assessment'!J$29:J$313,1,'Self-Assessment'!O$29:O$313,1,'Self-Assessment'!T$29:T$313,1),"")</f>
        <v/>
      </c>
      <c r="F37" s="110" t="str">
        <f>IFERROR(AVERAGEIFS('Self-Assessment'!D$29:D$313,'Self-Assessment'!J$29:J$313,1,'Self-Assessment'!O$29:O$313,1),"")</f>
        <v/>
      </c>
    </row>
    <row r="38" spans="2:6" ht="33" customHeight="1">
      <c r="B38" s="26" t="s">
        <v>34</v>
      </c>
      <c r="C38" s="48" t="str">
        <f>IFERROR(AVERAGEIFS('Self-Assessment'!D$29:D$313,'Self-Assessment'!J$29:J$313,1,'Self-Assessment'!P$29:P$313,1,'Self-Assessment'!R$29:R$313,1),"")</f>
        <v/>
      </c>
      <c r="D38" s="48" t="str">
        <f>IFERROR(AVERAGEIFS('Self-Assessment'!D$29:D$313,'Self-Assessment'!J$29:J$313,1,'Self-Assessment'!P$29:P$313,1,'Self-Assessment'!S$29:S$313,1),"")</f>
        <v/>
      </c>
      <c r="E38" s="48" t="str">
        <f>IFERROR(AVERAGEIFS('Self-Assessment'!D$29:D$313,'Self-Assessment'!J$29:J$313,1,'Self-Assessment'!P$29:P$313,1,'Self-Assessment'!T$29:T$313,1),"")</f>
        <v/>
      </c>
      <c r="F38" s="110" t="str">
        <f>IFERROR(AVERAGEIFS('Self-Assessment'!D$29:D$313,'Self-Assessment'!J$29:J$313,1,'Self-Assessment'!P$29:P$313,1),"")</f>
        <v/>
      </c>
    </row>
    <row r="39" spans="2:6" ht="33" customHeight="1" thickBot="1">
      <c r="B39" s="27" t="s">
        <v>35</v>
      </c>
      <c r="C39" s="49" t="str">
        <f>IFERROR(AVERAGEIFS('Self-Assessment'!D$29:D$313,'Self-Assessment'!J$29:J$313,1,'Self-Assessment'!Q$29:Q$313,1,'Self-Assessment'!R$29:R$313,1),"")</f>
        <v/>
      </c>
      <c r="D39" s="49" t="str">
        <f>IFERROR(AVERAGEIFS('Self-Assessment'!D$29:D$313,'Self-Assessment'!J$29:J$313,1,'Self-Assessment'!Q$29:Q$313,1,'Self-Assessment'!S$29:S$313,1),"")</f>
        <v/>
      </c>
      <c r="E39" s="49" t="str">
        <f>IFERROR(AVERAGEIFS('Self-Assessment'!D$29:D$313,'Self-Assessment'!J$29:J$313,1,'Self-Assessment'!Q$29:Q$313,1,'Self-Assessment'!T$29:T$313,1),"")</f>
        <v/>
      </c>
      <c r="F39" s="111" t="str">
        <f>IFERROR(AVERAGEIFS('Self-Assessment'!D$29:D$313,'Self-Assessment'!J$29:J$313,1,'Self-Assessment'!Q$29:Q$313,1),"")</f>
        <v/>
      </c>
    </row>
    <row r="40" spans="2:6" ht="33" customHeight="1" thickTop="1" thickBot="1">
      <c r="B40" s="51" t="s">
        <v>216</v>
      </c>
      <c r="C40" s="110" t="str">
        <f>IFERROR(AVERAGEIFS('Self-Assessment'!D$29:D$313,'Self-Assessment'!J$29:J$313,1,'Self-Assessment'!R$29:R$313,1),"")</f>
        <v/>
      </c>
      <c r="D40" s="110" t="str">
        <f>IFERROR(AVERAGEIFS('Self-Assessment'!D$29:D$313,'Self-Assessment'!J$29:J$313,1,'Self-Assessment'!S$29:S$313,1),"")</f>
        <v/>
      </c>
      <c r="E40" s="110" t="str">
        <f>IFERROR(AVERAGEIFS('Self-Assessment'!D$29:D$313,'Self-Assessment'!J$29:J$313,1,'Self-Assessment'!T$29:T$313,1),"")</f>
        <v/>
      </c>
      <c r="F40" s="108" t="str">
        <f>IFERROR(AVERAGEIFS('Self-Assessment'!D$29:D$313,'Self-Assessment'!J$29:J$313,1),"")</f>
        <v/>
      </c>
    </row>
    <row r="41" spans="2:6">
      <c r="B41" s="17"/>
      <c r="C41" s="17"/>
      <c r="D41" s="17"/>
      <c r="E41" s="17"/>
      <c r="F41" s="17"/>
    </row>
    <row r="42" spans="2:6" ht="19">
      <c r="B42" s="19" t="s">
        <v>63</v>
      </c>
      <c r="C42" s="20"/>
      <c r="D42" s="20"/>
      <c r="E42" s="20"/>
      <c r="F42" s="20"/>
    </row>
    <row r="43" spans="2:6" ht="156" customHeight="1">
      <c r="B43" s="156" t="s">
        <v>45</v>
      </c>
      <c r="C43" s="156"/>
      <c r="D43" s="156"/>
      <c r="E43" s="156"/>
      <c r="F43" s="156"/>
    </row>
    <row r="44" spans="2:6">
      <c r="B44" s="20"/>
      <c r="C44" s="20"/>
      <c r="D44" s="20"/>
      <c r="E44" s="20"/>
      <c r="F44" s="20"/>
    </row>
    <row r="45" spans="2:6">
      <c r="B45" s="21"/>
      <c r="C45" s="164" t="s">
        <v>31</v>
      </c>
      <c r="D45" s="164"/>
      <c r="E45" s="164"/>
      <c r="F45" s="22"/>
    </row>
    <row r="46" spans="2:6" ht="32">
      <c r="B46" s="23" t="s">
        <v>22</v>
      </c>
      <c r="C46" s="24" t="s">
        <v>36</v>
      </c>
      <c r="D46" s="24" t="s">
        <v>37</v>
      </c>
      <c r="E46" s="24" t="s">
        <v>38</v>
      </c>
      <c r="F46" s="50" t="s">
        <v>216</v>
      </c>
    </row>
    <row r="47" spans="2:6" ht="33" customHeight="1">
      <c r="B47" s="25" t="s">
        <v>32</v>
      </c>
      <c r="C47" s="47" t="str">
        <f>IFERROR(AVERAGEIFS('Self-Assessment'!D$29:D$313,'Self-Assessment'!K$29:K$313,1,'Self-Assessment'!N$29:N$313,1,'Self-Assessment'!R$29:R$313,1),"")</f>
        <v/>
      </c>
      <c r="D47" s="47" t="str">
        <f>IFERROR(AVERAGEIFS('Self-Assessment'!D$29:D$313,'Self-Assessment'!K$29:K$313,1,'Self-Assessment'!N$29:N$313,1,'Self-Assessment'!S$29:S$313,1),"")</f>
        <v/>
      </c>
      <c r="E47" s="47" t="str">
        <f>IFERROR(AVERAGEIFS('Self-Assessment'!D$29:D$313,'Self-Assessment'!K$29:K$313,1,'Self-Assessment'!N$29:N$313,1,'Self-Assessment'!T$29:T$313,1),"")</f>
        <v/>
      </c>
      <c r="F47" s="109" t="str">
        <f>IFERROR(AVERAGEIFS('Self-Assessment'!D$29:D$313,'Self-Assessment'!K$29:K$313,1,'Self-Assessment'!N$29:N$313,1),"")</f>
        <v/>
      </c>
    </row>
    <row r="48" spans="2:6" ht="33" customHeight="1">
      <c r="B48" s="26" t="s">
        <v>33</v>
      </c>
      <c r="C48" s="48" t="str">
        <f>IFERROR(AVERAGEIFS('Self-Assessment'!D$29:D$313,'Self-Assessment'!K$29:K$313,1,'Self-Assessment'!O$29:O$313,1,'Self-Assessment'!R$29:R$313,1),"")</f>
        <v/>
      </c>
      <c r="D48" s="48" t="str">
        <f>IFERROR(AVERAGEIFS('Self-Assessment'!D$29:D$313,'Self-Assessment'!K$29:K$313,1,'Self-Assessment'!O$29:O$313,1,'Self-Assessment'!S$29:S$313,1),"")</f>
        <v/>
      </c>
      <c r="E48" s="48" t="str">
        <f>IFERROR(AVERAGEIFS('Self-Assessment'!D$29:D$313,'Self-Assessment'!K$29:K$313,1,'Self-Assessment'!O$29:O$313,1,'Self-Assessment'!T$29:T$313,1),"")</f>
        <v/>
      </c>
      <c r="F48" s="110" t="str">
        <f>IFERROR(AVERAGEIFS('Self-Assessment'!D$29:D$313,'Self-Assessment'!K$29:K$313,1,'Self-Assessment'!O$29:O$313,1),"")</f>
        <v/>
      </c>
    </row>
    <row r="49" spans="2:6" ht="33" customHeight="1">
      <c r="B49" s="26" t="s">
        <v>34</v>
      </c>
      <c r="C49" s="48" t="str">
        <f>IFERROR(AVERAGEIFS('Self-Assessment'!D$29:D$313,'Self-Assessment'!K$29:K$313,1,'Self-Assessment'!P$29:P$313,1,'Self-Assessment'!R$29:R$313,1),"")</f>
        <v/>
      </c>
      <c r="D49" s="48" t="str">
        <f>IFERROR(AVERAGEIFS('Self-Assessment'!D$29:D$313,'Self-Assessment'!K$29:K$313,1,'Self-Assessment'!P$29:P$313,1,'Self-Assessment'!S$29:S$313,1),"")</f>
        <v/>
      </c>
      <c r="E49" s="48" t="str">
        <f>IFERROR(AVERAGEIFS('Self-Assessment'!D$29:D$313,'Self-Assessment'!K$29:K$313,1,'Self-Assessment'!P$29:P$313,1,'Self-Assessment'!T$29:T$313,1),"")</f>
        <v/>
      </c>
      <c r="F49" s="110" t="str">
        <f>IFERROR(AVERAGEIFS('Self-Assessment'!D$29:D$313,'Self-Assessment'!K$29:K$313,1,'Self-Assessment'!P$29:P$313,1),"")</f>
        <v/>
      </c>
    </row>
    <row r="50" spans="2:6" ht="33" customHeight="1" thickBot="1">
      <c r="B50" s="27" t="s">
        <v>35</v>
      </c>
      <c r="C50" s="49" t="str">
        <f>IFERROR(AVERAGEIFS('Self-Assessment'!D$29:D$313,'Self-Assessment'!K$29:K$313,1,'Self-Assessment'!Q$29:Q$313,1,'Self-Assessment'!R$29:R$313,1),"")</f>
        <v/>
      </c>
      <c r="D50" s="49" t="str">
        <f>IFERROR(AVERAGEIFS('Self-Assessment'!D$29:D$313,'Self-Assessment'!K$29:K$313,1,'Self-Assessment'!Q$29:Q$313,1,'Self-Assessment'!S$29:S$313,1),"")</f>
        <v/>
      </c>
      <c r="E50" s="49" t="str">
        <f>IFERROR(AVERAGEIFS('Self-Assessment'!D$29:D$313,'Self-Assessment'!K$29:K$313,1,'Self-Assessment'!Q$29:Q$313,1,'Self-Assessment'!T$29:T$313,1),"")</f>
        <v/>
      </c>
      <c r="F50" s="111" t="str">
        <f>IFERROR(AVERAGEIFS('Self-Assessment'!D$29:D$313,'Self-Assessment'!K$29:K$313,1,'Self-Assessment'!Q$29:Q$313,1),"")</f>
        <v/>
      </c>
    </row>
    <row r="51" spans="2:6" ht="33" customHeight="1" thickTop="1" thickBot="1">
      <c r="B51" s="51" t="s">
        <v>216</v>
      </c>
      <c r="C51" s="110" t="str">
        <f>IFERROR(AVERAGEIFS('Self-Assessment'!D$29:D$313,'Self-Assessment'!K$29:K$313,1,'Self-Assessment'!R$29:R$313,1),"")</f>
        <v/>
      </c>
      <c r="D51" s="110" t="str">
        <f>IFERROR(AVERAGEIFS('Self-Assessment'!D$29:D$313,'Self-Assessment'!K$29:K$313,1,'Self-Assessment'!S$29:S$313,1),"")</f>
        <v/>
      </c>
      <c r="E51" s="110" t="str">
        <f>IFERROR(AVERAGEIFS('Self-Assessment'!D$29:D$313,'Self-Assessment'!K$29:K$313,1,'Self-Assessment'!T$29:T$313,1),"")</f>
        <v/>
      </c>
      <c r="F51" s="108" t="str">
        <f>IFERROR(AVERAGEIFS('Self-Assessment'!D$29:D$313,'Self-Assessment'!K$29:K$313,1),"")</f>
        <v/>
      </c>
    </row>
    <row r="52" spans="2:6">
      <c r="B52" s="17"/>
      <c r="C52" s="17"/>
      <c r="D52" s="17"/>
      <c r="E52" s="17"/>
      <c r="F52" s="17"/>
    </row>
    <row r="53" spans="2:6">
      <c r="B53" s="17" t="str">
        <f>"EQuiPD Self-Assessment Scores: "&amp;IF('Self-Assessment'!$D$23="Not listed",'Self-Assessment'!$D$24,'Self-Assessment'!$D$23)&amp;" "&amp;'Self-Assessment'!D$26</f>
        <v xml:space="preserve">EQuiPD Self-Assessment Scores:  </v>
      </c>
      <c r="C53" s="17"/>
      <c r="D53" s="17"/>
      <c r="E53" s="17"/>
      <c r="F53" s="17"/>
    </row>
    <row r="54" spans="2:6" ht="19">
      <c r="B54" s="19" t="s">
        <v>8</v>
      </c>
      <c r="C54" s="20"/>
      <c r="D54" s="20"/>
      <c r="E54" s="20"/>
      <c r="F54" s="20"/>
    </row>
    <row r="55" spans="2:6" ht="156" customHeight="1">
      <c r="B55" s="156" t="s">
        <v>43</v>
      </c>
      <c r="C55" s="156"/>
      <c r="D55" s="156"/>
      <c r="E55" s="156"/>
      <c r="F55" s="156"/>
    </row>
    <row r="56" spans="2:6">
      <c r="B56" s="20"/>
      <c r="C56" s="20"/>
      <c r="D56" s="20"/>
      <c r="E56" s="20"/>
      <c r="F56" s="20"/>
    </row>
    <row r="57" spans="2:6">
      <c r="B57" s="21"/>
      <c r="C57" s="164" t="s">
        <v>31</v>
      </c>
      <c r="D57" s="164"/>
      <c r="E57" s="164"/>
      <c r="F57" s="22"/>
    </row>
    <row r="58" spans="2:6" ht="32">
      <c r="B58" s="23" t="s">
        <v>22</v>
      </c>
      <c r="C58" s="24" t="s">
        <v>36</v>
      </c>
      <c r="D58" s="24" t="s">
        <v>37</v>
      </c>
      <c r="E58" s="24" t="s">
        <v>38</v>
      </c>
      <c r="F58" s="50" t="s">
        <v>216</v>
      </c>
    </row>
    <row r="59" spans="2:6" ht="33" customHeight="1">
      <c r="B59" s="25" t="s">
        <v>32</v>
      </c>
      <c r="C59" s="47" t="str">
        <f>IFERROR(AVERAGEIFS('Self-Assessment'!D$29:D$313,'Self-Assessment'!L$29:L$313,1,'Self-Assessment'!N$29:N$313,1,'Self-Assessment'!R$29:R$313,1),"")</f>
        <v/>
      </c>
      <c r="D59" s="47" t="str">
        <f>IFERROR(AVERAGEIFS('Self-Assessment'!D$29:D$313,'Self-Assessment'!L$29:L$313,1,'Self-Assessment'!N$29:N$313,1,'Self-Assessment'!S$29:S$313,1),"")</f>
        <v/>
      </c>
      <c r="E59" s="47" t="str">
        <f>IFERROR(AVERAGEIFS('Self-Assessment'!D$29:D$313,'Self-Assessment'!L$29:L$313,1,'Self-Assessment'!N$29:N$313,1,'Self-Assessment'!T$29:T$313,1),"")</f>
        <v/>
      </c>
      <c r="F59" s="109" t="str">
        <f>IFERROR(AVERAGEIFS('Self-Assessment'!D$29:D$313,'Self-Assessment'!L$29:L$313,1,'Self-Assessment'!N$29:N$313,1),"")</f>
        <v/>
      </c>
    </row>
    <row r="60" spans="2:6" ht="33" customHeight="1">
      <c r="B60" s="26" t="s">
        <v>33</v>
      </c>
      <c r="C60" s="48" t="str">
        <f>IFERROR(AVERAGEIFS('Self-Assessment'!D$29:D$313,'Self-Assessment'!L$29:L$313,1,'Self-Assessment'!O$29:O$313,1,'Self-Assessment'!R$29:R$313,1),"")</f>
        <v/>
      </c>
      <c r="D60" s="48" t="str">
        <f>IFERROR(AVERAGEIFS('Self-Assessment'!D$29:D$313,'Self-Assessment'!L$29:L$313,1,'Self-Assessment'!O$29:O$313,1,'Self-Assessment'!S$29:S$313,1),"")</f>
        <v/>
      </c>
      <c r="E60" s="48" t="str">
        <f>IFERROR(AVERAGEIFS('Self-Assessment'!D$29:D$313,'Self-Assessment'!L$29:L$313,1,'Self-Assessment'!O$29:O$313,1,'Self-Assessment'!T$29:T$313,1),"")</f>
        <v/>
      </c>
      <c r="F60" s="110" t="str">
        <f>IFERROR(AVERAGEIFS('Self-Assessment'!D$29:D$313,'Self-Assessment'!L$29:L$313,1,'Self-Assessment'!O$29:O$313,1),"")</f>
        <v/>
      </c>
    </row>
    <row r="61" spans="2:6" ht="33" customHeight="1">
      <c r="B61" s="26" t="s">
        <v>34</v>
      </c>
      <c r="C61" s="48" t="str">
        <f>IFERROR(AVERAGEIFS('Self-Assessment'!D$29:D$313,'Self-Assessment'!L$29:L$313,1,'Self-Assessment'!P$29:P$313,1,'Self-Assessment'!R$29:R$313,1),"")</f>
        <v/>
      </c>
      <c r="D61" s="48" t="str">
        <f>IFERROR(AVERAGEIFS('Self-Assessment'!D$29:D$313,'Self-Assessment'!L$29:L$313,1,'Self-Assessment'!P$29:P$313,1,'Self-Assessment'!S$29:S$313,1),"")</f>
        <v/>
      </c>
      <c r="E61" s="48" t="str">
        <f>IFERROR(AVERAGEIFS('Self-Assessment'!D$29:D$313,'Self-Assessment'!L$29:L$313,1,'Self-Assessment'!P$29:P$313,1,'Self-Assessment'!T$29:T$313,1),"")</f>
        <v/>
      </c>
      <c r="F61" s="110" t="str">
        <f>IFERROR(AVERAGEIFS('Self-Assessment'!D$29:D$313,'Self-Assessment'!L$29:L$313,1,'Self-Assessment'!P$29:P$313,1),"")</f>
        <v/>
      </c>
    </row>
    <row r="62" spans="2:6" ht="33" customHeight="1" thickBot="1">
      <c r="B62" s="27" t="s">
        <v>35</v>
      </c>
      <c r="C62" s="49" t="str">
        <f>IFERROR(AVERAGEIFS('Self-Assessment'!D$29:D$313,'Self-Assessment'!L$29:L$313,1,'Self-Assessment'!Q$29:Q$313,1,'Self-Assessment'!R$29:R$313,1),"")</f>
        <v/>
      </c>
      <c r="D62" s="49" t="str">
        <f>IFERROR(AVERAGEIFS('Self-Assessment'!D$29:D$313,'Self-Assessment'!L$29:L$313,1,'Self-Assessment'!Q$29:Q$313,1,'Self-Assessment'!S$29:S$313,1),"")</f>
        <v/>
      </c>
      <c r="E62" s="49" t="str">
        <f>IFERROR(AVERAGEIFS('Self-Assessment'!D$29:D$313,'Self-Assessment'!L$29:L$313,1,'Self-Assessment'!Q$29:Q$313,1,'Self-Assessment'!T$29:T$313,1),"")</f>
        <v/>
      </c>
      <c r="F62" s="111" t="str">
        <f>IFERROR(AVERAGEIFS('Self-Assessment'!D$29:D$313,'Self-Assessment'!L$29:L$313,1,'Self-Assessment'!Q$29:Q$313,1),"")</f>
        <v/>
      </c>
    </row>
    <row r="63" spans="2:6" ht="33" customHeight="1" thickTop="1" thickBot="1">
      <c r="B63" s="51" t="s">
        <v>216</v>
      </c>
      <c r="C63" s="110" t="str">
        <f>IFERROR(AVERAGEIFS('Self-Assessment'!D$29:D$313,'Self-Assessment'!L$29:L$313,1,'Self-Assessment'!R$29:R$313,1),"")</f>
        <v/>
      </c>
      <c r="D63" s="110" t="str">
        <f>IFERROR(AVERAGEIFS('Self-Assessment'!D$29:D$313,'Self-Assessment'!L$29:L$313,1,'Self-Assessment'!S$29:S$313,1),"")</f>
        <v/>
      </c>
      <c r="E63" s="110" t="str">
        <f>IFERROR(AVERAGEIFS('Self-Assessment'!D$29:D$313,'Self-Assessment'!L$29:L$313,1,'Self-Assessment'!T$29:T$313,1),"")</f>
        <v/>
      </c>
      <c r="F63" s="108" t="str">
        <f>IFERROR(AVERAGEIFS('Self-Assessment'!D$29:D$313,'Self-Assessment'!L$29:L$313,1),"")</f>
        <v/>
      </c>
    </row>
    <row r="64" spans="2:6">
      <c r="B64" s="17"/>
      <c r="C64" s="17"/>
      <c r="D64" s="17"/>
      <c r="E64" s="17"/>
      <c r="F64" s="17"/>
    </row>
    <row r="65" spans="2:6" ht="19">
      <c r="B65" s="19" t="s">
        <v>9</v>
      </c>
      <c r="C65" s="20"/>
      <c r="D65" s="20"/>
      <c r="E65" s="20"/>
      <c r="F65" s="20"/>
    </row>
    <row r="66" spans="2:6" ht="152" customHeight="1">
      <c r="B66" s="156" t="s">
        <v>44</v>
      </c>
      <c r="C66" s="156"/>
      <c r="D66" s="156"/>
      <c r="E66" s="156"/>
      <c r="F66" s="156"/>
    </row>
    <row r="67" spans="2:6">
      <c r="B67" s="20"/>
      <c r="C67" s="20"/>
      <c r="D67" s="20"/>
      <c r="E67" s="20"/>
      <c r="F67" s="20"/>
    </row>
    <row r="68" spans="2:6">
      <c r="B68" s="21"/>
      <c r="C68" s="164" t="s">
        <v>31</v>
      </c>
      <c r="D68" s="164"/>
      <c r="E68" s="164"/>
      <c r="F68" s="22"/>
    </row>
    <row r="69" spans="2:6" ht="32">
      <c r="B69" s="23" t="s">
        <v>22</v>
      </c>
      <c r="C69" s="24" t="s">
        <v>36</v>
      </c>
      <c r="D69" s="24" t="s">
        <v>37</v>
      </c>
      <c r="E69" s="24" t="s">
        <v>38</v>
      </c>
      <c r="F69" s="50" t="s">
        <v>216</v>
      </c>
    </row>
    <row r="70" spans="2:6" ht="33" customHeight="1">
      <c r="B70" s="25" t="s">
        <v>32</v>
      </c>
      <c r="C70" s="47" t="str">
        <f>IFERROR(AVERAGEIFS('Self-Assessment'!D$29:D$313,'Self-Assessment'!M$29:M$313,1,'Self-Assessment'!N$29:N$313,1,'Self-Assessment'!R$29:R$313,1),"")</f>
        <v/>
      </c>
      <c r="D70" s="47" t="str">
        <f>IFERROR(AVERAGEIFS('Self-Assessment'!D$29:D$313,'Self-Assessment'!M$29:M$313,1,'Self-Assessment'!N$29:N$313,1,'Self-Assessment'!S$29:S$313,1),"")</f>
        <v/>
      </c>
      <c r="E70" s="47" t="str">
        <f>IFERROR(AVERAGEIFS('Self-Assessment'!D$29:D$313,'Self-Assessment'!M$29:M$313,1,'Self-Assessment'!N$29:N$313,1,'Self-Assessment'!T$29:T$313,1),"")</f>
        <v/>
      </c>
      <c r="F70" s="109" t="str">
        <f>IFERROR(AVERAGEIFS('Self-Assessment'!D$29:D$313,'Self-Assessment'!M$29:M$313,1,'Self-Assessment'!N$29:N$313,1),"")</f>
        <v/>
      </c>
    </row>
    <row r="71" spans="2:6" ht="33" customHeight="1">
      <c r="B71" s="26" t="s">
        <v>33</v>
      </c>
      <c r="C71" s="48" t="str">
        <f>IFERROR(AVERAGEIFS('Self-Assessment'!D$29:D$313,'Self-Assessment'!M$29:M$313,1,'Self-Assessment'!O$29:O$313,1,'Self-Assessment'!R$29:R$313,1),"")</f>
        <v/>
      </c>
      <c r="D71" s="48" t="str">
        <f>IFERROR(AVERAGEIFS('Self-Assessment'!D$29:D$313,'Self-Assessment'!M$29:M$313,1,'Self-Assessment'!O$29:O$313,1,'Self-Assessment'!S$29:S$313,1),"")</f>
        <v/>
      </c>
      <c r="E71" s="48" t="str">
        <f>IFERROR(AVERAGEIFS('Self-Assessment'!D$29:D$313,'Self-Assessment'!M$29:M$313,1,'Self-Assessment'!O$29:O$313,1,'Self-Assessment'!T$29:T$313,1),"")</f>
        <v/>
      </c>
      <c r="F71" s="110" t="str">
        <f>IFERROR(AVERAGEIFS('Self-Assessment'!D$29:D$313,'Self-Assessment'!M$29:M$313,1,'Self-Assessment'!O$29:O$313,1),"")</f>
        <v/>
      </c>
    </row>
    <row r="72" spans="2:6" ht="33" customHeight="1">
      <c r="B72" s="26" t="s">
        <v>34</v>
      </c>
      <c r="C72" s="48" t="str">
        <f>IFERROR(AVERAGEIFS('Self-Assessment'!D$29:D$313,'Self-Assessment'!M$29:M$313,1,'Self-Assessment'!P$29:P$313,1,'Self-Assessment'!R$29:R$313,1),"")</f>
        <v/>
      </c>
      <c r="D72" s="48" t="str">
        <f>IFERROR(AVERAGEIFS('Self-Assessment'!D$29:D$313,'Self-Assessment'!M$29:M$313,1,'Self-Assessment'!P$29:P$313,1,'Self-Assessment'!S$29:S$313,1),"")</f>
        <v/>
      </c>
      <c r="E72" s="48" t="str">
        <f>IFERROR(AVERAGEIFS('Self-Assessment'!D$29:D$313,'Self-Assessment'!M$29:M$313,1,'Self-Assessment'!P$29:P$313,1,'Self-Assessment'!T$29:T$313,1),"")</f>
        <v/>
      </c>
      <c r="F72" s="110" t="str">
        <f>IFERROR(AVERAGEIFS('Self-Assessment'!D$29:D$313,'Self-Assessment'!M$29:M$313,1,'Self-Assessment'!P$29:P$313,1),"")</f>
        <v/>
      </c>
    </row>
    <row r="73" spans="2:6" ht="33" customHeight="1" thickBot="1">
      <c r="B73" s="27" t="s">
        <v>35</v>
      </c>
      <c r="C73" s="49" t="str">
        <f>IFERROR(AVERAGEIFS('Self-Assessment'!D$29:D$313,'Self-Assessment'!M$29:M$313,1,'Self-Assessment'!Q$29:Q$313,1,'Self-Assessment'!R$29:R$313,1),"")</f>
        <v/>
      </c>
      <c r="D73" s="49" t="str">
        <f>IFERROR(AVERAGEIFS('Self-Assessment'!D$29:D$313,'Self-Assessment'!M$29:M$313,1,'Self-Assessment'!Q$29:Q$313,1,'Self-Assessment'!S$29:S$313,1),"")</f>
        <v/>
      </c>
      <c r="E73" s="49" t="str">
        <f>IFERROR(AVERAGEIFS('Self-Assessment'!D$29:D$313,'Self-Assessment'!M$29:M$313,1,'Self-Assessment'!Q$29:Q$313,1,'Self-Assessment'!T$29:T$313,1),"")</f>
        <v/>
      </c>
      <c r="F73" s="111" t="str">
        <f>IFERROR(AVERAGEIFS('Self-Assessment'!D$29:D$313,'Self-Assessment'!M$29:M$313,1,'Self-Assessment'!Q$29:Q$313,1),"")</f>
        <v/>
      </c>
    </row>
    <row r="74" spans="2:6" ht="33" customHeight="1" thickTop="1" thickBot="1">
      <c r="B74" s="51" t="s">
        <v>216</v>
      </c>
      <c r="C74" s="110" t="str">
        <f>IFERROR(AVERAGEIFS('Self-Assessment'!D$29:D$313,'Self-Assessment'!M$29:M$313,1,'Self-Assessment'!R$29:R$313,1),"")</f>
        <v/>
      </c>
      <c r="D74" s="110" t="str">
        <f>IFERROR(AVERAGEIFS('Self-Assessment'!D$29:D$313,'Self-Assessment'!M$29:M$313,1,'Self-Assessment'!S$29:S$313,1),"")</f>
        <v/>
      </c>
      <c r="E74" s="110" t="str">
        <f>IFERROR(AVERAGEIFS('Self-Assessment'!D$29:D$313,'Self-Assessment'!M$29:M$313,1,'Self-Assessment'!T$29:T$313,1),"")</f>
        <v/>
      </c>
      <c r="F74" s="108" t="str">
        <f>IFERROR(AVERAGEIFS('Self-Assessment'!D$29:D$313,'Self-Assessment'!M$29:M$313,1),"")</f>
        <v/>
      </c>
    </row>
    <row r="75" spans="2:6">
      <c r="B75" s="17"/>
      <c r="C75" s="17"/>
      <c r="D75" s="17"/>
      <c r="E75" s="17"/>
      <c r="F75" s="17"/>
    </row>
  </sheetData>
  <sheetProtection sheet="1" objects="1" scenarios="1"/>
  <mergeCells count="16">
    <mergeCell ref="E7:F7"/>
    <mergeCell ref="D10:F10"/>
    <mergeCell ref="C3:E3"/>
    <mergeCell ref="C4:E4"/>
    <mergeCell ref="C68:E68"/>
    <mergeCell ref="C11:E11"/>
    <mergeCell ref="C22:E22"/>
    <mergeCell ref="C34:E34"/>
    <mergeCell ref="B9:F9"/>
    <mergeCell ref="B20:F20"/>
    <mergeCell ref="B32:F32"/>
    <mergeCell ref="B43:F43"/>
    <mergeCell ref="B55:F55"/>
    <mergeCell ref="B66:F66"/>
    <mergeCell ref="C45:E45"/>
    <mergeCell ref="C57:E57"/>
  </mergeCells>
  <conditionalFormatting sqref="C13:F16 C17:E17">
    <cfRule type="colorScale" priority="44">
      <colorScale>
        <cfvo type="num" val="0"/>
        <cfvo type="num" val="1.5"/>
        <cfvo type="num" val="3"/>
        <color rgb="FFF8696B"/>
        <color rgb="FFFFEB84"/>
        <color rgb="FF63BE7B"/>
      </colorScale>
    </cfRule>
  </conditionalFormatting>
  <conditionalFormatting sqref="C24:F27 C28:E28">
    <cfRule type="colorScale" priority="10">
      <colorScale>
        <cfvo type="num" val="0"/>
        <cfvo type="num" val="1.5"/>
        <cfvo type="num" val="3"/>
        <color rgb="FFF8696B"/>
        <color rgb="FFFFEB84"/>
        <color rgb="FF63BE7B"/>
      </colorScale>
    </cfRule>
  </conditionalFormatting>
  <conditionalFormatting sqref="C36:F39 C40:E40">
    <cfRule type="colorScale" priority="8">
      <colorScale>
        <cfvo type="num" val="0"/>
        <cfvo type="num" val="1.5"/>
        <cfvo type="num" val="3"/>
        <color rgb="FFF8696B"/>
        <color rgb="FFFFEB84"/>
        <color rgb="FF63BE7B"/>
      </colorScale>
    </cfRule>
  </conditionalFormatting>
  <conditionalFormatting sqref="C47:F50 C51:E51">
    <cfRule type="colorScale" priority="6">
      <colorScale>
        <cfvo type="num" val="0"/>
        <cfvo type="num" val="1.5"/>
        <cfvo type="num" val="3"/>
        <color rgb="FFF8696B"/>
        <color rgb="FFFFEB84"/>
        <color rgb="FF63BE7B"/>
      </colorScale>
    </cfRule>
  </conditionalFormatting>
  <conditionalFormatting sqref="C59:F62 C63:E63">
    <cfRule type="colorScale" priority="4">
      <colorScale>
        <cfvo type="num" val="0"/>
        <cfvo type="num" val="1.5"/>
        <cfvo type="num" val="3"/>
        <color rgb="FFF8696B"/>
        <color rgb="FFFFEB84"/>
        <color rgb="FF63BE7B"/>
      </colorScale>
    </cfRule>
  </conditionalFormatting>
  <conditionalFormatting sqref="C70:F73 C74:E74">
    <cfRule type="colorScale" priority="2">
      <colorScale>
        <cfvo type="num" val="0"/>
        <cfvo type="num" val="1.5"/>
        <cfvo type="num" val="3"/>
        <color rgb="FFF8696B"/>
        <color rgb="FFFFEB84"/>
        <color rgb="FF63BE7B"/>
      </colorScale>
    </cfRule>
  </conditionalFormatting>
  <conditionalFormatting sqref="F17">
    <cfRule type="colorScale" priority="28">
      <colorScale>
        <cfvo type="num" val="0"/>
        <cfvo type="num" val="1.5"/>
        <cfvo type="num" val="3"/>
        <color rgb="FFF8696B"/>
        <color rgb="FFFFEB84"/>
        <color rgb="FF63BE7B"/>
      </colorScale>
    </cfRule>
  </conditionalFormatting>
  <conditionalFormatting sqref="F28">
    <cfRule type="colorScale" priority="9">
      <colorScale>
        <cfvo type="num" val="0"/>
        <cfvo type="num" val="1.5"/>
        <cfvo type="num" val="3"/>
        <color rgb="FFF8696B"/>
        <color rgb="FFFFEB84"/>
        <color rgb="FF63BE7B"/>
      </colorScale>
    </cfRule>
  </conditionalFormatting>
  <conditionalFormatting sqref="F40">
    <cfRule type="colorScale" priority="7">
      <colorScale>
        <cfvo type="num" val="0"/>
        <cfvo type="num" val="1.5"/>
        <cfvo type="num" val="3"/>
        <color rgb="FFF8696B"/>
        <color rgb="FFFFEB84"/>
        <color rgb="FF63BE7B"/>
      </colorScale>
    </cfRule>
  </conditionalFormatting>
  <conditionalFormatting sqref="F51">
    <cfRule type="colorScale" priority="5">
      <colorScale>
        <cfvo type="num" val="0"/>
        <cfvo type="num" val="1.5"/>
        <cfvo type="num" val="3"/>
        <color rgb="FFF8696B"/>
        <color rgb="FFFFEB84"/>
        <color rgb="FF63BE7B"/>
      </colorScale>
    </cfRule>
  </conditionalFormatting>
  <conditionalFormatting sqref="F63">
    <cfRule type="colorScale" priority="3">
      <colorScale>
        <cfvo type="num" val="0"/>
        <cfvo type="num" val="1.5"/>
        <cfvo type="num" val="3"/>
        <color rgb="FFF8696B"/>
        <color rgb="FFFFEB84"/>
        <color rgb="FF63BE7B"/>
      </colorScale>
    </cfRule>
  </conditionalFormatting>
  <conditionalFormatting sqref="F74">
    <cfRule type="colorScale" priority="1">
      <colorScale>
        <cfvo type="num" val="0"/>
        <cfvo type="num" val="1.5"/>
        <cfvo type="num" val="3"/>
        <color rgb="FFF8696B"/>
        <color rgb="FFFFEB84"/>
        <color rgb="FF63BE7B"/>
      </colorScale>
    </cfRule>
  </conditionalFormatting>
  <hyperlinks>
    <hyperlink ref="E7" location="Recommendations!A1" display="View recommendations and next steps" xr:uid="{FE1EAB00-716A-9944-B0AE-7CA2BA8BC1BF}"/>
    <hyperlink ref="D10:F10" location="Definitions!A1" display="Learn more about Categories, Domains, and Themes" xr:uid="{0B07350A-EE01-3442-88E8-F5A7724ABD88}"/>
  </hyperlinks>
  <pageMargins left="0.7" right="0.7" top="0.75" bottom="0.75" header="0.3" footer="0.3"/>
  <pageSetup scale="65" fitToHeight="3" orientation="portrait" horizontalDpi="0" verticalDpi="0"/>
  <rowBreaks count="3" manualBreakCount="3">
    <brk id="6" max="6" man="1"/>
    <brk id="29" max="6" man="1"/>
    <brk id="52" max="6" man="1"/>
  </rowBreak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65B-42F4-DF45-BC0A-F128E7564194}">
  <dimension ref="A1:T123"/>
  <sheetViews>
    <sheetView zoomScaleNormal="100" zoomScaleSheetLayoutView="75" workbookViewId="0"/>
  </sheetViews>
  <sheetFormatPr baseColWidth="10" defaultColWidth="0" defaultRowHeight="0" customHeight="1" zeroHeight="1"/>
  <cols>
    <col min="1" max="1" width="2.5" style="4" customWidth="1"/>
    <col min="2" max="2" width="2.5" style="5" customWidth="1"/>
    <col min="3" max="3" width="44.1640625" style="6" customWidth="1"/>
    <col min="4" max="4" width="9.1640625" style="7" customWidth="1"/>
    <col min="5" max="5" width="44.1640625" style="7" customWidth="1"/>
    <col min="6" max="6" width="2.5" style="5" customWidth="1"/>
    <col min="7" max="7" width="2.5" style="4" customWidth="1"/>
    <col min="8" max="8" width="3.5" style="8" customWidth="1"/>
    <col min="9" max="12" width="3.5" style="9" customWidth="1"/>
    <col min="13" max="13" width="3.5" style="10" customWidth="1"/>
    <col min="14" max="16" width="3.5" style="9" customWidth="1"/>
    <col min="17" max="17" width="3.5" style="10" customWidth="1"/>
    <col min="18" max="19" width="3.5" style="9" customWidth="1"/>
    <col min="20" max="20" width="3.5" style="10" customWidth="1"/>
    <col min="21" max="16384" width="10.83203125" style="5" hidden="1"/>
  </cols>
  <sheetData>
    <row r="1" spans="1:20" s="3" customFormat="1" ht="15" customHeight="1">
      <c r="A1" s="2" t="s">
        <v>0</v>
      </c>
      <c r="B1" s="2" t="s">
        <v>59</v>
      </c>
      <c r="C1" s="2" t="s">
        <v>47</v>
      </c>
      <c r="D1" s="2" t="s">
        <v>213</v>
      </c>
      <c r="E1" s="2" t="s">
        <v>319</v>
      </c>
      <c r="G1" s="2"/>
      <c r="H1" s="8" t="s">
        <v>15</v>
      </c>
      <c r="I1" s="9" t="s">
        <v>16</v>
      </c>
      <c r="J1" s="9" t="s">
        <v>17</v>
      </c>
      <c r="K1" s="9" t="s">
        <v>18</v>
      </c>
      <c r="L1" s="9" t="s">
        <v>19</v>
      </c>
      <c r="M1" s="10" t="s">
        <v>20</v>
      </c>
      <c r="N1" s="9" t="s">
        <v>23</v>
      </c>
      <c r="O1" s="9" t="s">
        <v>24</v>
      </c>
      <c r="P1" s="9" t="s">
        <v>25</v>
      </c>
      <c r="Q1" s="10" t="s">
        <v>26</v>
      </c>
      <c r="R1" s="9" t="s">
        <v>28</v>
      </c>
      <c r="S1" s="9" t="s">
        <v>29</v>
      </c>
      <c r="T1" s="10" t="s">
        <v>30</v>
      </c>
    </row>
    <row r="2" spans="1:20" ht="15" customHeight="1" thickBot="1">
      <c r="A2" s="112" t="str">
        <f>'Self-Assessment'!A2</f>
        <v>v260116</v>
      </c>
      <c r="B2" s="38"/>
      <c r="C2" s="37"/>
      <c r="D2" s="37"/>
      <c r="E2" s="37"/>
      <c r="F2" s="41"/>
      <c r="H2" s="11"/>
      <c r="I2" s="12"/>
      <c r="J2" s="12"/>
      <c r="K2" s="12"/>
      <c r="L2" s="12"/>
      <c r="M2" s="13"/>
      <c r="N2" s="12"/>
      <c r="O2" s="12"/>
      <c r="P2" s="12"/>
      <c r="Q2" s="13"/>
      <c r="R2" s="12"/>
      <c r="S2" s="12"/>
      <c r="T2" s="13"/>
    </row>
    <row r="3" spans="1:20" ht="73" customHeight="1" thickBot="1">
      <c r="B3" s="39"/>
      <c r="C3" s="145" t="s">
        <v>1</v>
      </c>
      <c r="D3" s="146"/>
      <c r="E3" s="147"/>
      <c r="F3" s="42"/>
      <c r="H3" s="11"/>
      <c r="I3" s="12"/>
      <c r="J3" s="12"/>
      <c r="K3" s="12"/>
      <c r="L3" s="12"/>
      <c r="M3" s="13"/>
      <c r="N3" s="12"/>
      <c r="O3" s="12"/>
      <c r="P3" s="12"/>
      <c r="Q3" s="13"/>
      <c r="R3" s="12"/>
      <c r="S3" s="12"/>
      <c r="T3" s="13"/>
    </row>
    <row r="4" spans="1:20" ht="19" hidden="1">
      <c r="B4" s="39"/>
      <c r="C4" s="148" t="s">
        <v>319</v>
      </c>
      <c r="D4" s="148"/>
      <c r="E4" s="148"/>
      <c r="F4" s="42"/>
      <c r="H4" s="11"/>
      <c r="I4" s="12"/>
      <c r="J4" s="12"/>
      <c r="K4" s="12"/>
      <c r="L4" s="12"/>
      <c r="M4" s="13"/>
      <c r="N4" s="12"/>
      <c r="O4" s="12"/>
      <c r="P4" s="12"/>
      <c r="Q4" s="13"/>
      <c r="R4" s="12"/>
      <c r="S4" s="12"/>
      <c r="T4" s="13"/>
    </row>
    <row r="5" spans="1:20" ht="19">
      <c r="B5" s="39"/>
      <c r="C5" s="148" t="s">
        <v>319</v>
      </c>
      <c r="D5" s="148"/>
      <c r="E5" s="148"/>
      <c r="F5" s="42"/>
      <c r="H5" s="11"/>
      <c r="I5" s="12"/>
      <c r="J5" s="12"/>
      <c r="K5" s="12"/>
      <c r="L5" s="12"/>
      <c r="M5" s="13"/>
      <c r="N5" s="12"/>
      <c r="O5" s="12"/>
      <c r="P5" s="12"/>
      <c r="Q5" s="13"/>
      <c r="R5" s="12"/>
      <c r="S5" s="12"/>
      <c r="T5" s="13"/>
    </row>
    <row r="6" spans="1:20" ht="59" customHeight="1">
      <c r="B6" s="39"/>
      <c r="C6" s="168" t="s">
        <v>333</v>
      </c>
      <c r="D6" s="168"/>
      <c r="E6" s="122"/>
      <c r="F6" s="42"/>
      <c r="H6" s="165" t="s">
        <v>21</v>
      </c>
      <c r="I6" s="166"/>
      <c r="J6" s="166"/>
      <c r="K6" s="166"/>
      <c r="L6" s="166"/>
      <c r="M6" s="167"/>
      <c r="N6" s="165" t="s">
        <v>22</v>
      </c>
      <c r="O6" s="166"/>
      <c r="P6" s="166"/>
      <c r="Q6" s="167"/>
      <c r="R6" s="165" t="s">
        <v>27</v>
      </c>
      <c r="S6" s="166"/>
      <c r="T6" s="167"/>
    </row>
    <row r="7" spans="1:20" ht="291" customHeight="1">
      <c r="B7" s="107">
        <v>0</v>
      </c>
      <c r="C7" s="31" t="s">
        <v>326</v>
      </c>
      <c r="D7" s="118" t="s">
        <v>327</v>
      </c>
      <c r="E7" s="32" t="s">
        <v>319</v>
      </c>
      <c r="F7" s="42"/>
      <c r="H7" s="133" t="s">
        <v>411</v>
      </c>
      <c r="I7" s="134" t="s">
        <v>412</v>
      </c>
      <c r="J7" s="134" t="s">
        <v>413</v>
      </c>
      <c r="K7" s="134" t="s">
        <v>414</v>
      </c>
      <c r="L7" s="134" t="s">
        <v>415</v>
      </c>
      <c r="M7" s="135" t="s">
        <v>416</v>
      </c>
      <c r="N7" s="134" t="s">
        <v>417</v>
      </c>
      <c r="O7" s="134" t="s">
        <v>418</v>
      </c>
      <c r="P7" s="134" t="s">
        <v>419</v>
      </c>
      <c r="Q7" s="135" t="s">
        <v>420</v>
      </c>
      <c r="R7" s="134" t="s">
        <v>421</v>
      </c>
      <c r="S7" s="134" t="s">
        <v>422</v>
      </c>
      <c r="T7" s="135" t="s">
        <v>423</v>
      </c>
    </row>
    <row r="8" spans="1:20" ht="128">
      <c r="B8" s="61">
        <f>B7+1</f>
        <v>1</v>
      </c>
      <c r="C8" s="57" t="s">
        <v>272</v>
      </c>
      <c r="D8" s="114">
        <f>'Self-Assessment'!D30</f>
        <v>0</v>
      </c>
      <c r="E8" s="57" t="s">
        <v>359</v>
      </c>
      <c r="F8" s="42"/>
      <c r="L8" s="9">
        <v>1</v>
      </c>
      <c r="P8" s="9">
        <v>1</v>
      </c>
      <c r="R8" s="9">
        <v>1</v>
      </c>
    </row>
    <row r="9" spans="1:20" ht="176">
      <c r="B9" s="61">
        <f t="shared" ref="B9:B32" si="0">B8+1</f>
        <v>2</v>
      </c>
      <c r="C9" s="58" t="s">
        <v>218</v>
      </c>
      <c r="D9" s="115">
        <f>'Self-Assessment'!D31</f>
        <v>0</v>
      </c>
      <c r="E9" s="58" t="s">
        <v>320</v>
      </c>
      <c r="F9" s="42"/>
      <c r="H9" s="8">
        <v>1</v>
      </c>
      <c r="L9" s="9">
        <v>1</v>
      </c>
      <c r="Q9" s="10">
        <v>1</v>
      </c>
      <c r="T9" s="10">
        <v>1</v>
      </c>
    </row>
    <row r="10" spans="1:20" ht="144">
      <c r="B10" s="61">
        <f t="shared" si="0"/>
        <v>3</v>
      </c>
      <c r="C10" s="57" t="s">
        <v>219</v>
      </c>
      <c r="D10" s="114">
        <f>'Self-Assessment'!D32</f>
        <v>0</v>
      </c>
      <c r="E10" s="57" t="s">
        <v>360</v>
      </c>
      <c r="F10" s="42"/>
      <c r="H10" s="8">
        <v>1</v>
      </c>
      <c r="L10" s="9">
        <v>1</v>
      </c>
      <c r="M10" s="10">
        <v>1</v>
      </c>
      <c r="Q10" s="10">
        <v>1</v>
      </c>
      <c r="S10" s="9">
        <v>1</v>
      </c>
      <c r="T10" s="10">
        <v>1</v>
      </c>
    </row>
    <row r="11" spans="1:20" ht="144">
      <c r="B11" s="61">
        <f t="shared" si="0"/>
        <v>4</v>
      </c>
      <c r="C11" s="58" t="s">
        <v>273</v>
      </c>
      <c r="D11" s="115">
        <f>'Self-Assessment'!D33</f>
        <v>0</v>
      </c>
      <c r="E11" s="58" t="s">
        <v>361</v>
      </c>
      <c r="F11" s="42"/>
      <c r="L11" s="9">
        <v>1</v>
      </c>
      <c r="N11" s="9">
        <v>1</v>
      </c>
      <c r="R11" s="9">
        <v>1</v>
      </c>
    </row>
    <row r="12" spans="1:20" ht="112">
      <c r="B12" s="61">
        <f t="shared" si="0"/>
        <v>5</v>
      </c>
      <c r="C12" s="57" t="s">
        <v>274</v>
      </c>
      <c r="D12" s="114">
        <f>'Self-Assessment'!D34</f>
        <v>0</v>
      </c>
      <c r="E12" s="57" t="s">
        <v>362</v>
      </c>
      <c r="F12" s="42"/>
      <c r="M12" s="10">
        <v>1</v>
      </c>
      <c r="N12" s="9">
        <v>1</v>
      </c>
      <c r="R12" s="9">
        <v>1</v>
      </c>
      <c r="S12" s="9">
        <v>1</v>
      </c>
    </row>
    <row r="13" spans="1:20" ht="112">
      <c r="B13" s="61">
        <f t="shared" si="0"/>
        <v>6</v>
      </c>
      <c r="C13" s="58" t="s">
        <v>237</v>
      </c>
      <c r="D13" s="115">
        <f>'Self-Assessment'!D35</f>
        <v>0</v>
      </c>
      <c r="E13" s="58" t="s">
        <v>363</v>
      </c>
      <c r="F13" s="42"/>
      <c r="H13" s="8">
        <v>1</v>
      </c>
      <c r="J13" s="9">
        <v>1</v>
      </c>
      <c r="M13" s="10">
        <v>1</v>
      </c>
      <c r="O13" s="9">
        <v>1</v>
      </c>
      <c r="P13" s="9">
        <v>1</v>
      </c>
      <c r="Q13" s="10">
        <v>1</v>
      </c>
      <c r="R13" s="9">
        <v>1</v>
      </c>
      <c r="S13" s="9">
        <v>1</v>
      </c>
    </row>
    <row r="14" spans="1:20" ht="256">
      <c r="B14" s="61">
        <f t="shared" si="0"/>
        <v>7</v>
      </c>
      <c r="C14" s="57" t="s">
        <v>285</v>
      </c>
      <c r="D14" s="114">
        <f>'Self-Assessment'!D36</f>
        <v>0</v>
      </c>
      <c r="E14" s="57" t="s">
        <v>364</v>
      </c>
      <c r="F14" s="42"/>
      <c r="H14" s="8">
        <v>1</v>
      </c>
      <c r="J14" s="9">
        <v>1</v>
      </c>
      <c r="N14" s="9">
        <v>1</v>
      </c>
      <c r="P14" s="9">
        <v>1</v>
      </c>
      <c r="S14" s="9">
        <v>1</v>
      </c>
      <c r="T14" s="10">
        <v>1</v>
      </c>
    </row>
    <row r="15" spans="1:20" ht="80">
      <c r="B15" s="61">
        <f t="shared" si="0"/>
        <v>8</v>
      </c>
      <c r="C15" s="58" t="s">
        <v>220</v>
      </c>
      <c r="D15" s="115">
        <f>'Self-Assessment'!D37</f>
        <v>0</v>
      </c>
      <c r="E15" s="58" t="s">
        <v>321</v>
      </c>
      <c r="F15" s="42"/>
      <c r="M15" s="10">
        <v>1</v>
      </c>
      <c r="Q15" s="10">
        <v>1</v>
      </c>
      <c r="S15" s="9">
        <v>1</v>
      </c>
    </row>
    <row r="16" spans="1:20" ht="160">
      <c r="B16" s="61">
        <f t="shared" si="0"/>
        <v>9</v>
      </c>
      <c r="C16" s="57" t="s">
        <v>275</v>
      </c>
      <c r="D16" s="114">
        <f>'Self-Assessment'!D38</f>
        <v>0</v>
      </c>
      <c r="E16" s="57" t="s">
        <v>322</v>
      </c>
      <c r="F16" s="42"/>
      <c r="H16" s="8">
        <v>1</v>
      </c>
      <c r="N16" s="9">
        <v>1</v>
      </c>
      <c r="S16" s="9">
        <v>1</v>
      </c>
    </row>
    <row r="17" spans="2:20" ht="96">
      <c r="B17" s="61">
        <f t="shared" si="0"/>
        <v>10</v>
      </c>
      <c r="C17" s="58" t="s">
        <v>236</v>
      </c>
      <c r="D17" s="115">
        <f>'Self-Assessment'!D39</f>
        <v>0</v>
      </c>
      <c r="E17" s="58" t="s">
        <v>323</v>
      </c>
      <c r="F17" s="42"/>
      <c r="L17" s="9">
        <v>1</v>
      </c>
      <c r="N17" s="9">
        <v>1</v>
      </c>
      <c r="T17" s="10">
        <v>1</v>
      </c>
    </row>
    <row r="18" spans="2:20" ht="128">
      <c r="B18" s="61">
        <f t="shared" si="0"/>
        <v>11</v>
      </c>
      <c r="C18" s="57" t="s">
        <v>221</v>
      </c>
      <c r="D18" s="114">
        <f>'Self-Assessment'!D40</f>
        <v>0</v>
      </c>
      <c r="E18" s="57" t="s">
        <v>365</v>
      </c>
      <c r="F18" s="42"/>
      <c r="L18" s="9">
        <v>1</v>
      </c>
      <c r="N18" s="9">
        <v>1</v>
      </c>
      <c r="T18" s="10">
        <v>1</v>
      </c>
    </row>
    <row r="19" spans="2:20" ht="144">
      <c r="B19" s="61">
        <f t="shared" si="0"/>
        <v>12</v>
      </c>
      <c r="C19" s="58" t="s">
        <v>276</v>
      </c>
      <c r="D19" s="115">
        <f>'Self-Assessment'!D41</f>
        <v>0</v>
      </c>
      <c r="E19" s="58" t="s">
        <v>366</v>
      </c>
      <c r="F19" s="42"/>
      <c r="L19" s="9">
        <v>1</v>
      </c>
      <c r="N19" s="9">
        <v>1</v>
      </c>
      <c r="R19" s="9">
        <v>1</v>
      </c>
    </row>
    <row r="20" spans="2:20" ht="160">
      <c r="B20" s="61">
        <f t="shared" si="0"/>
        <v>13</v>
      </c>
      <c r="C20" s="57" t="s">
        <v>277</v>
      </c>
      <c r="D20" s="114">
        <f>'Self-Assessment'!D42</f>
        <v>0</v>
      </c>
      <c r="E20" s="57" t="s">
        <v>367</v>
      </c>
      <c r="F20" s="42"/>
      <c r="J20" s="9">
        <v>1</v>
      </c>
      <c r="O20" s="9">
        <v>1</v>
      </c>
      <c r="T20" s="10">
        <v>1</v>
      </c>
    </row>
    <row r="21" spans="2:20" ht="80">
      <c r="B21" s="61">
        <f t="shared" si="0"/>
        <v>14</v>
      </c>
      <c r="C21" s="58" t="s">
        <v>278</v>
      </c>
      <c r="D21" s="115">
        <f>'Self-Assessment'!D43</f>
        <v>0</v>
      </c>
      <c r="E21" s="58" t="s">
        <v>368</v>
      </c>
      <c r="F21" s="42"/>
      <c r="J21" s="9">
        <v>1</v>
      </c>
      <c r="N21" s="9">
        <v>1</v>
      </c>
      <c r="R21" s="9">
        <v>1</v>
      </c>
      <c r="S21" s="9">
        <v>1</v>
      </c>
    </row>
    <row r="22" spans="2:20" ht="365">
      <c r="B22" s="61">
        <f t="shared" si="0"/>
        <v>15</v>
      </c>
      <c r="C22" s="57" t="s">
        <v>279</v>
      </c>
      <c r="D22" s="114">
        <f>'Self-Assessment'!D44</f>
        <v>0</v>
      </c>
      <c r="E22" s="57" t="s">
        <v>369</v>
      </c>
      <c r="F22" s="42"/>
      <c r="H22" s="8">
        <v>1</v>
      </c>
      <c r="K22" s="9">
        <v>1</v>
      </c>
      <c r="N22" s="9">
        <v>1</v>
      </c>
      <c r="P22" s="9">
        <v>1</v>
      </c>
      <c r="R22" s="9">
        <v>1</v>
      </c>
    </row>
    <row r="23" spans="2:20" ht="80">
      <c r="B23" s="61">
        <f t="shared" si="0"/>
        <v>16</v>
      </c>
      <c r="C23" s="58" t="s">
        <v>226</v>
      </c>
      <c r="D23" s="115">
        <f>'Self-Assessment'!D45</f>
        <v>0</v>
      </c>
      <c r="E23" s="58" t="s">
        <v>370</v>
      </c>
      <c r="F23" s="42"/>
      <c r="H23" s="8">
        <v>1</v>
      </c>
      <c r="O23" s="9">
        <v>1</v>
      </c>
      <c r="R23" s="9">
        <v>1</v>
      </c>
    </row>
    <row r="24" spans="2:20" ht="96">
      <c r="B24" s="61">
        <f t="shared" si="0"/>
        <v>17</v>
      </c>
      <c r="C24" s="57" t="s">
        <v>280</v>
      </c>
      <c r="D24" s="114">
        <f>'Self-Assessment'!D46</f>
        <v>0</v>
      </c>
      <c r="E24" s="57" t="s">
        <v>371</v>
      </c>
      <c r="F24" s="42"/>
      <c r="H24" s="8">
        <v>1</v>
      </c>
      <c r="P24" s="9">
        <v>1</v>
      </c>
      <c r="S24" s="9">
        <v>1</v>
      </c>
    </row>
    <row r="25" spans="2:20" ht="80">
      <c r="B25" s="61">
        <f t="shared" si="0"/>
        <v>18</v>
      </c>
      <c r="C25" s="58" t="s">
        <v>222</v>
      </c>
      <c r="D25" s="115">
        <f>'Self-Assessment'!D47</f>
        <v>0</v>
      </c>
      <c r="E25" s="58" t="s">
        <v>324</v>
      </c>
      <c r="F25" s="42"/>
      <c r="K25" s="9">
        <v>1</v>
      </c>
      <c r="N25" s="9">
        <v>1</v>
      </c>
      <c r="S25" s="9">
        <v>1</v>
      </c>
      <c r="T25" s="10">
        <v>1</v>
      </c>
    </row>
    <row r="26" spans="2:20" ht="256">
      <c r="B26" s="61">
        <f t="shared" si="0"/>
        <v>19</v>
      </c>
      <c r="C26" s="57" t="s">
        <v>223</v>
      </c>
      <c r="D26" s="114">
        <f>'Self-Assessment'!D48</f>
        <v>0</v>
      </c>
      <c r="E26" s="57" t="s">
        <v>372</v>
      </c>
      <c r="F26" s="42"/>
      <c r="H26" s="8">
        <v>1</v>
      </c>
      <c r="Q26" s="10">
        <v>1</v>
      </c>
      <c r="T26" s="10">
        <v>1</v>
      </c>
    </row>
    <row r="27" spans="2:20" ht="96">
      <c r="B27" s="61">
        <f t="shared" si="0"/>
        <v>20</v>
      </c>
      <c r="C27" s="58" t="s">
        <v>224</v>
      </c>
      <c r="D27" s="115">
        <f>'Self-Assessment'!D49</f>
        <v>0</v>
      </c>
      <c r="E27" s="58" t="s">
        <v>373</v>
      </c>
      <c r="F27" s="42"/>
      <c r="K27" s="9">
        <v>1</v>
      </c>
      <c r="O27" s="9">
        <v>1</v>
      </c>
      <c r="S27" s="9">
        <v>1</v>
      </c>
    </row>
    <row r="28" spans="2:20" ht="208">
      <c r="B28" s="61">
        <f t="shared" si="0"/>
        <v>21</v>
      </c>
      <c r="C28" s="57" t="s">
        <v>281</v>
      </c>
      <c r="D28" s="114">
        <f>'Self-Assessment'!D50</f>
        <v>0</v>
      </c>
      <c r="E28" s="57" t="s">
        <v>374</v>
      </c>
      <c r="F28" s="42"/>
      <c r="H28" s="8">
        <v>1</v>
      </c>
      <c r="N28" s="9">
        <v>1</v>
      </c>
      <c r="O28" s="9">
        <v>1</v>
      </c>
      <c r="S28" s="9">
        <v>1</v>
      </c>
    </row>
    <row r="29" spans="2:20" ht="160">
      <c r="B29" s="61">
        <f t="shared" si="0"/>
        <v>22</v>
      </c>
      <c r="C29" s="58" t="s">
        <v>282</v>
      </c>
      <c r="D29" s="115">
        <f>'Self-Assessment'!D51</f>
        <v>0</v>
      </c>
      <c r="E29" s="58" t="s">
        <v>375</v>
      </c>
      <c r="F29" s="42"/>
      <c r="H29" s="8">
        <v>1</v>
      </c>
      <c r="J29" s="9">
        <v>1</v>
      </c>
      <c r="P29" s="9">
        <v>1</v>
      </c>
      <c r="Q29" s="10">
        <v>1</v>
      </c>
      <c r="T29" s="10">
        <v>1</v>
      </c>
    </row>
    <row r="30" spans="2:20" ht="96">
      <c r="B30" s="61">
        <f t="shared" si="0"/>
        <v>23</v>
      </c>
      <c r="C30" s="57" t="s">
        <v>225</v>
      </c>
      <c r="D30" s="114">
        <f>'Self-Assessment'!D52</f>
        <v>0</v>
      </c>
      <c r="E30" s="57" t="s">
        <v>376</v>
      </c>
      <c r="F30" s="42"/>
      <c r="I30" s="9">
        <v>1</v>
      </c>
      <c r="O30" s="9">
        <v>1</v>
      </c>
      <c r="P30" s="9">
        <v>1</v>
      </c>
      <c r="Q30" s="10">
        <v>1</v>
      </c>
      <c r="R30" s="9">
        <v>1</v>
      </c>
      <c r="S30" s="9">
        <v>1</v>
      </c>
      <c r="T30" s="10">
        <v>1</v>
      </c>
    </row>
    <row r="31" spans="2:20" ht="64">
      <c r="B31" s="61">
        <f t="shared" si="0"/>
        <v>24</v>
      </c>
      <c r="C31" s="58" t="s">
        <v>283</v>
      </c>
      <c r="D31" s="115">
        <f>'Self-Assessment'!D53</f>
        <v>0</v>
      </c>
      <c r="E31" s="58" t="s">
        <v>377</v>
      </c>
      <c r="F31" s="42"/>
      <c r="H31" s="8">
        <v>1</v>
      </c>
      <c r="I31" s="9">
        <v>1</v>
      </c>
      <c r="N31" s="9">
        <v>1</v>
      </c>
      <c r="P31" s="9">
        <v>1</v>
      </c>
      <c r="R31" s="9">
        <v>1</v>
      </c>
      <c r="S31" s="9">
        <v>1</v>
      </c>
      <c r="T31" s="10">
        <v>1</v>
      </c>
    </row>
    <row r="32" spans="2:20" ht="97" thickBot="1">
      <c r="B32" s="61">
        <f t="shared" si="0"/>
        <v>25</v>
      </c>
      <c r="C32" s="60" t="s">
        <v>284</v>
      </c>
      <c r="D32" s="116">
        <f>'Self-Assessment'!D54</f>
        <v>0</v>
      </c>
      <c r="E32" s="60" t="s">
        <v>325</v>
      </c>
      <c r="F32" s="42"/>
      <c r="I32" s="9">
        <v>1</v>
      </c>
      <c r="K32" s="9">
        <v>1</v>
      </c>
      <c r="L32" s="9">
        <v>1</v>
      </c>
      <c r="P32" s="9">
        <v>1</v>
      </c>
      <c r="Q32" s="10">
        <v>1</v>
      </c>
      <c r="R32" s="9">
        <v>1</v>
      </c>
    </row>
    <row r="33" spans="2:20" ht="21">
      <c r="B33" s="62"/>
      <c r="C33" s="55"/>
      <c r="D33" s="56"/>
      <c r="E33" s="56"/>
      <c r="F33" s="42"/>
    </row>
    <row r="34" spans="2:20" ht="16">
      <c r="B34" s="107">
        <f>B32</f>
        <v>25</v>
      </c>
      <c r="C34" s="31" t="s">
        <v>227</v>
      </c>
      <c r="D34" s="32" t="s">
        <v>327</v>
      </c>
      <c r="E34" s="113" t="s">
        <v>319</v>
      </c>
      <c r="F34" s="42"/>
      <c r="H34" s="119">
        <v>1</v>
      </c>
      <c r="I34" s="120">
        <v>1</v>
      </c>
      <c r="J34" s="120">
        <v>1</v>
      </c>
      <c r="K34" s="120">
        <v>1</v>
      </c>
      <c r="L34" s="120">
        <v>1</v>
      </c>
      <c r="M34" s="121">
        <v>1</v>
      </c>
      <c r="N34" s="120">
        <v>1</v>
      </c>
      <c r="O34" s="120">
        <v>1</v>
      </c>
      <c r="P34" s="120">
        <v>1</v>
      </c>
      <c r="Q34" s="121">
        <v>1</v>
      </c>
      <c r="R34" s="120">
        <v>1</v>
      </c>
      <c r="S34" s="120">
        <v>1</v>
      </c>
      <c r="T34" s="121">
        <v>1</v>
      </c>
    </row>
    <row r="35" spans="2:20" ht="144">
      <c r="B35" s="61">
        <f>B34+1</f>
        <v>26</v>
      </c>
      <c r="C35" s="57" t="s">
        <v>286</v>
      </c>
      <c r="D35" s="114">
        <f>'Self-Assessment'!D57</f>
        <v>0</v>
      </c>
      <c r="E35" s="57" t="s">
        <v>335</v>
      </c>
      <c r="F35" s="42"/>
      <c r="H35" s="8">
        <v>1</v>
      </c>
      <c r="I35" s="9">
        <v>1</v>
      </c>
      <c r="N35" s="9">
        <v>1</v>
      </c>
      <c r="R35" s="9">
        <v>1</v>
      </c>
    </row>
    <row r="36" spans="2:20" ht="272">
      <c r="B36" s="61">
        <f t="shared" ref="B36:B48" si="1">B35+1</f>
        <v>27</v>
      </c>
      <c r="C36" s="58" t="s">
        <v>287</v>
      </c>
      <c r="D36" s="115">
        <f>'Self-Assessment'!D58</f>
        <v>0</v>
      </c>
      <c r="E36" s="58" t="s">
        <v>378</v>
      </c>
      <c r="F36" s="42"/>
      <c r="H36" s="8">
        <v>1</v>
      </c>
      <c r="I36" s="9">
        <v>1</v>
      </c>
      <c r="P36" s="9">
        <v>1</v>
      </c>
      <c r="T36" s="10">
        <v>1</v>
      </c>
    </row>
    <row r="37" spans="2:20" ht="160">
      <c r="B37" s="61">
        <f t="shared" si="1"/>
        <v>28</v>
      </c>
      <c r="C37" s="57" t="s">
        <v>288</v>
      </c>
      <c r="D37" s="114">
        <f>'Self-Assessment'!D59</f>
        <v>0</v>
      </c>
      <c r="E37" s="57" t="s">
        <v>379</v>
      </c>
      <c r="F37" s="42"/>
      <c r="H37" s="8">
        <v>1</v>
      </c>
      <c r="I37" s="9">
        <v>1</v>
      </c>
      <c r="P37" s="9">
        <v>1</v>
      </c>
      <c r="R37" s="9">
        <v>1</v>
      </c>
      <c r="T37" s="10">
        <v>1</v>
      </c>
    </row>
    <row r="38" spans="2:20" ht="160">
      <c r="B38" s="61">
        <f t="shared" si="1"/>
        <v>29</v>
      </c>
      <c r="C38" s="58" t="s">
        <v>289</v>
      </c>
      <c r="D38" s="115">
        <f>'Self-Assessment'!D60</f>
        <v>0</v>
      </c>
      <c r="E38" s="58" t="s">
        <v>380</v>
      </c>
      <c r="F38" s="42"/>
      <c r="H38" s="8">
        <v>1</v>
      </c>
      <c r="I38" s="9">
        <v>1</v>
      </c>
      <c r="P38" s="9">
        <v>1</v>
      </c>
      <c r="R38" s="9">
        <v>1</v>
      </c>
      <c r="S38" s="9">
        <v>1</v>
      </c>
      <c r="T38" s="10">
        <v>1</v>
      </c>
    </row>
    <row r="39" spans="2:20" ht="112">
      <c r="B39" s="61">
        <f t="shared" si="1"/>
        <v>30</v>
      </c>
      <c r="C39" s="57" t="s">
        <v>228</v>
      </c>
      <c r="D39" s="114">
        <f>'Self-Assessment'!D61</f>
        <v>0</v>
      </c>
      <c r="E39" s="57" t="s">
        <v>336</v>
      </c>
      <c r="F39" s="42"/>
      <c r="K39" s="9">
        <v>1</v>
      </c>
      <c r="L39" s="9">
        <v>1</v>
      </c>
      <c r="O39" s="9">
        <v>1</v>
      </c>
      <c r="R39" s="9">
        <v>1</v>
      </c>
    </row>
    <row r="40" spans="2:20" ht="160">
      <c r="B40" s="61">
        <f t="shared" si="1"/>
        <v>31</v>
      </c>
      <c r="C40" s="58" t="s">
        <v>290</v>
      </c>
      <c r="D40" s="115">
        <f>'Self-Assessment'!D62</f>
        <v>0</v>
      </c>
      <c r="E40" s="58" t="s">
        <v>337</v>
      </c>
      <c r="F40" s="42"/>
      <c r="L40" s="9">
        <v>1</v>
      </c>
      <c r="N40" s="9">
        <v>1</v>
      </c>
      <c r="R40" s="9">
        <v>1</v>
      </c>
    </row>
    <row r="41" spans="2:20" ht="128">
      <c r="B41" s="61">
        <f t="shared" si="1"/>
        <v>32</v>
      </c>
      <c r="C41" s="57" t="s">
        <v>254</v>
      </c>
      <c r="D41" s="114">
        <f>'Self-Assessment'!D63</f>
        <v>0</v>
      </c>
      <c r="E41" s="57" t="s">
        <v>381</v>
      </c>
      <c r="F41" s="42"/>
      <c r="L41" s="9">
        <v>1</v>
      </c>
      <c r="N41" s="9">
        <v>1</v>
      </c>
      <c r="R41" s="9">
        <v>1</v>
      </c>
    </row>
    <row r="42" spans="2:20" ht="112">
      <c r="B42" s="61">
        <f t="shared" si="1"/>
        <v>33</v>
      </c>
      <c r="C42" s="58" t="s">
        <v>229</v>
      </c>
      <c r="D42" s="115">
        <f>'Self-Assessment'!D64</f>
        <v>0</v>
      </c>
      <c r="E42" s="58" t="s">
        <v>338</v>
      </c>
      <c r="F42" s="42"/>
      <c r="L42" s="9">
        <v>1</v>
      </c>
      <c r="N42" s="9">
        <v>1</v>
      </c>
      <c r="R42" s="9">
        <v>1</v>
      </c>
    </row>
    <row r="43" spans="2:20" ht="80">
      <c r="B43" s="61">
        <f t="shared" si="1"/>
        <v>34</v>
      </c>
      <c r="C43" s="57" t="s">
        <v>230</v>
      </c>
      <c r="D43" s="114">
        <f>'Self-Assessment'!D65</f>
        <v>0</v>
      </c>
      <c r="E43" s="57" t="s">
        <v>382</v>
      </c>
      <c r="F43" s="42"/>
      <c r="H43" s="8">
        <v>1</v>
      </c>
      <c r="L43" s="9">
        <v>1</v>
      </c>
      <c r="O43" s="9">
        <v>1</v>
      </c>
      <c r="R43" s="9">
        <v>1</v>
      </c>
    </row>
    <row r="44" spans="2:20" ht="64">
      <c r="B44" s="61">
        <f t="shared" si="1"/>
        <v>35</v>
      </c>
      <c r="C44" s="58" t="s">
        <v>231</v>
      </c>
      <c r="D44" s="115">
        <f>'Self-Assessment'!D66</f>
        <v>0</v>
      </c>
      <c r="E44" s="58" t="s">
        <v>339</v>
      </c>
      <c r="F44" s="42"/>
      <c r="I44" s="9">
        <v>1</v>
      </c>
      <c r="J44" s="9">
        <v>1</v>
      </c>
      <c r="L44" s="9">
        <v>1</v>
      </c>
      <c r="N44" s="9">
        <v>1</v>
      </c>
      <c r="P44" s="9">
        <v>1</v>
      </c>
      <c r="T44" s="10">
        <v>1</v>
      </c>
    </row>
    <row r="45" spans="2:20" ht="64">
      <c r="B45" s="61">
        <f t="shared" si="1"/>
        <v>36</v>
      </c>
      <c r="C45" s="57" t="s">
        <v>232</v>
      </c>
      <c r="D45" s="114">
        <f>'Self-Assessment'!D67</f>
        <v>0</v>
      </c>
      <c r="E45" s="57" t="s">
        <v>383</v>
      </c>
      <c r="F45" s="42"/>
      <c r="I45" s="9">
        <v>1</v>
      </c>
      <c r="N45" s="9">
        <v>1</v>
      </c>
      <c r="R45" s="9">
        <v>1</v>
      </c>
    </row>
    <row r="46" spans="2:20" ht="80">
      <c r="B46" s="61">
        <f t="shared" si="1"/>
        <v>37</v>
      </c>
      <c r="C46" s="58" t="s">
        <v>291</v>
      </c>
      <c r="D46" s="115">
        <f>'Self-Assessment'!D68</f>
        <v>0</v>
      </c>
      <c r="E46" s="58" t="s">
        <v>384</v>
      </c>
      <c r="F46" s="42"/>
      <c r="K46" s="9">
        <v>1</v>
      </c>
      <c r="L46" s="9">
        <v>1</v>
      </c>
      <c r="O46" s="9">
        <v>1</v>
      </c>
      <c r="T46" s="10">
        <v>1</v>
      </c>
    </row>
    <row r="47" spans="2:20" ht="64">
      <c r="B47" s="61">
        <f t="shared" si="1"/>
        <v>38</v>
      </c>
      <c r="C47" s="57" t="s">
        <v>292</v>
      </c>
      <c r="D47" s="114">
        <f>'Self-Assessment'!D69</f>
        <v>0</v>
      </c>
      <c r="E47" s="57" t="s">
        <v>340</v>
      </c>
      <c r="F47" s="42"/>
      <c r="L47" s="9">
        <v>1</v>
      </c>
      <c r="O47" s="9">
        <v>1</v>
      </c>
      <c r="S47" s="9">
        <v>1</v>
      </c>
    </row>
    <row r="48" spans="2:20" ht="112">
      <c r="B48" s="61">
        <f t="shared" si="1"/>
        <v>39</v>
      </c>
      <c r="C48" s="58" t="s">
        <v>235</v>
      </c>
      <c r="D48" s="115">
        <f>'Self-Assessment'!D70</f>
        <v>0</v>
      </c>
      <c r="E48" s="58" t="s">
        <v>385</v>
      </c>
      <c r="F48" s="42"/>
      <c r="M48" s="10">
        <v>1</v>
      </c>
      <c r="N48" s="9">
        <v>1</v>
      </c>
      <c r="O48" s="9">
        <v>1</v>
      </c>
      <c r="S48" s="9">
        <v>1</v>
      </c>
    </row>
    <row r="49" spans="2:20" ht="113" thickBot="1">
      <c r="B49" s="61">
        <f>B48+1</f>
        <v>40</v>
      </c>
      <c r="C49" s="60" t="s">
        <v>293</v>
      </c>
      <c r="D49" s="116">
        <f>'Self-Assessment'!D71</f>
        <v>0</v>
      </c>
      <c r="E49" s="60" t="s">
        <v>386</v>
      </c>
      <c r="F49" s="42"/>
      <c r="M49" s="10">
        <v>1</v>
      </c>
      <c r="O49" s="9">
        <v>1</v>
      </c>
      <c r="P49" s="9">
        <v>1</v>
      </c>
      <c r="R49" s="9">
        <v>1</v>
      </c>
    </row>
    <row r="50" spans="2:20" ht="21">
      <c r="B50" s="62"/>
      <c r="C50" s="55"/>
      <c r="D50" s="56"/>
      <c r="E50" s="56"/>
      <c r="F50" s="42"/>
    </row>
    <row r="51" spans="2:20" ht="16">
      <c r="B51" s="107">
        <f>B49</f>
        <v>40</v>
      </c>
      <c r="C51" s="31" t="s">
        <v>233</v>
      </c>
      <c r="D51" s="32" t="s">
        <v>327</v>
      </c>
      <c r="E51" s="113" t="s">
        <v>319</v>
      </c>
      <c r="F51" s="42"/>
      <c r="H51" s="119">
        <v>1</v>
      </c>
      <c r="I51" s="120">
        <v>1</v>
      </c>
      <c r="J51" s="120">
        <v>1</v>
      </c>
      <c r="K51" s="120">
        <v>1</v>
      </c>
      <c r="L51" s="120">
        <v>1</v>
      </c>
      <c r="M51" s="121">
        <v>1</v>
      </c>
      <c r="N51" s="120">
        <v>1</v>
      </c>
      <c r="O51" s="120">
        <v>1</v>
      </c>
      <c r="P51" s="120">
        <v>1</v>
      </c>
      <c r="Q51" s="121">
        <v>1</v>
      </c>
      <c r="R51" s="120">
        <v>1</v>
      </c>
      <c r="S51" s="120">
        <v>1</v>
      </c>
      <c r="T51" s="121">
        <v>1</v>
      </c>
    </row>
    <row r="52" spans="2:20" ht="272">
      <c r="B52" s="61">
        <f>B51+1</f>
        <v>41</v>
      </c>
      <c r="C52" s="57" t="s">
        <v>294</v>
      </c>
      <c r="D52" s="114">
        <f>'Self-Assessment'!D74</f>
        <v>0</v>
      </c>
      <c r="E52" s="57" t="s">
        <v>341</v>
      </c>
      <c r="F52" s="42"/>
      <c r="H52" s="8">
        <v>1</v>
      </c>
      <c r="K52" s="9">
        <v>1</v>
      </c>
      <c r="N52" s="9">
        <v>1</v>
      </c>
      <c r="O52" s="9">
        <v>1</v>
      </c>
      <c r="R52" s="9">
        <v>1</v>
      </c>
    </row>
    <row r="53" spans="2:20" ht="176">
      <c r="B53" s="61">
        <f t="shared" ref="B53:B60" si="2">B52+1</f>
        <v>42</v>
      </c>
      <c r="C53" s="58" t="s">
        <v>295</v>
      </c>
      <c r="D53" s="115">
        <f>'Self-Assessment'!D75</f>
        <v>0</v>
      </c>
      <c r="E53" s="58" t="s">
        <v>387</v>
      </c>
      <c r="F53" s="42"/>
      <c r="K53" s="9">
        <v>1</v>
      </c>
      <c r="L53" s="9">
        <v>1</v>
      </c>
      <c r="N53" s="9">
        <v>1</v>
      </c>
      <c r="O53" s="9">
        <v>1</v>
      </c>
      <c r="R53" s="9">
        <v>1</v>
      </c>
    </row>
    <row r="54" spans="2:20" ht="144">
      <c r="B54" s="61">
        <f t="shared" si="2"/>
        <v>43</v>
      </c>
      <c r="C54" s="57" t="s">
        <v>296</v>
      </c>
      <c r="D54" s="114">
        <f>'Self-Assessment'!D76</f>
        <v>0</v>
      </c>
      <c r="E54" s="57" t="s">
        <v>388</v>
      </c>
      <c r="F54" s="42"/>
      <c r="K54" s="9">
        <v>1</v>
      </c>
      <c r="N54" s="9">
        <v>1</v>
      </c>
      <c r="O54" s="9">
        <v>1</v>
      </c>
      <c r="T54" s="10">
        <v>1</v>
      </c>
    </row>
    <row r="55" spans="2:20" ht="64">
      <c r="B55" s="61">
        <f t="shared" si="2"/>
        <v>44</v>
      </c>
      <c r="C55" s="58" t="s">
        <v>297</v>
      </c>
      <c r="D55" s="115">
        <f>'Self-Assessment'!D77</f>
        <v>0</v>
      </c>
      <c r="E55" s="58" t="s">
        <v>389</v>
      </c>
      <c r="F55" s="42"/>
      <c r="K55" s="9">
        <v>1</v>
      </c>
      <c r="N55" s="9">
        <v>1</v>
      </c>
      <c r="O55" s="9">
        <v>1</v>
      </c>
      <c r="S55" s="9">
        <v>1</v>
      </c>
    </row>
    <row r="56" spans="2:20" ht="64">
      <c r="B56" s="61">
        <f t="shared" si="2"/>
        <v>45</v>
      </c>
      <c r="C56" s="57" t="s">
        <v>298</v>
      </c>
      <c r="D56" s="114">
        <f>'Self-Assessment'!D78</f>
        <v>0</v>
      </c>
      <c r="E56" s="57" t="s">
        <v>342</v>
      </c>
      <c r="F56" s="42"/>
      <c r="K56" s="9">
        <v>1</v>
      </c>
      <c r="N56" s="9">
        <v>1</v>
      </c>
      <c r="O56" s="9">
        <v>1</v>
      </c>
      <c r="R56" s="9">
        <v>1</v>
      </c>
    </row>
    <row r="57" spans="2:20" ht="288">
      <c r="B57" s="61">
        <f t="shared" si="2"/>
        <v>46</v>
      </c>
      <c r="C57" s="58" t="s">
        <v>299</v>
      </c>
      <c r="D57" s="115">
        <f>'Self-Assessment'!D79</f>
        <v>0</v>
      </c>
      <c r="E57" s="58" t="s">
        <v>343</v>
      </c>
      <c r="F57" s="42"/>
      <c r="K57" s="9">
        <v>1</v>
      </c>
      <c r="N57" s="9">
        <v>1</v>
      </c>
      <c r="O57" s="9">
        <v>1</v>
      </c>
      <c r="T57" s="10">
        <v>1</v>
      </c>
    </row>
    <row r="58" spans="2:20" ht="64">
      <c r="B58" s="61">
        <f t="shared" si="2"/>
        <v>47</v>
      </c>
      <c r="C58" s="57" t="s">
        <v>255</v>
      </c>
      <c r="D58" s="114">
        <f>'Self-Assessment'!D80</f>
        <v>0</v>
      </c>
      <c r="E58" s="57" t="s">
        <v>390</v>
      </c>
      <c r="F58" s="42"/>
      <c r="J58" s="9">
        <v>1</v>
      </c>
      <c r="L58" s="9">
        <v>1</v>
      </c>
      <c r="M58" s="10">
        <v>1</v>
      </c>
      <c r="N58" s="9">
        <v>1</v>
      </c>
      <c r="O58" s="9">
        <v>1</v>
      </c>
      <c r="P58" s="9">
        <v>1</v>
      </c>
      <c r="T58" s="10">
        <v>1</v>
      </c>
    </row>
    <row r="59" spans="2:20" ht="160">
      <c r="B59" s="61">
        <f t="shared" si="2"/>
        <v>48</v>
      </c>
      <c r="C59" s="58" t="s">
        <v>300</v>
      </c>
      <c r="D59" s="115">
        <f>'Self-Assessment'!D81</f>
        <v>0</v>
      </c>
      <c r="E59" s="58" t="s">
        <v>391</v>
      </c>
      <c r="F59" s="42"/>
      <c r="H59" s="8">
        <v>1</v>
      </c>
      <c r="K59" s="9">
        <v>1</v>
      </c>
      <c r="N59" s="9">
        <v>1</v>
      </c>
      <c r="O59" s="9">
        <v>1</v>
      </c>
      <c r="R59" s="9">
        <v>1</v>
      </c>
    </row>
    <row r="60" spans="2:20" ht="65" thickBot="1">
      <c r="B60" s="61">
        <f t="shared" si="2"/>
        <v>49</v>
      </c>
      <c r="C60" s="60" t="s">
        <v>234</v>
      </c>
      <c r="D60" s="116">
        <f>'Self-Assessment'!D82</f>
        <v>0</v>
      </c>
      <c r="E60" s="60" t="s">
        <v>344</v>
      </c>
      <c r="F60" s="42"/>
      <c r="I60" s="9">
        <v>1</v>
      </c>
      <c r="M60" s="10">
        <v>1</v>
      </c>
      <c r="O60" s="9">
        <v>1</v>
      </c>
      <c r="P60" s="9">
        <v>1</v>
      </c>
      <c r="R60" s="9">
        <v>1</v>
      </c>
      <c r="T60" s="10">
        <v>1</v>
      </c>
    </row>
    <row r="61" spans="2:20" ht="21">
      <c r="B61" s="39"/>
      <c r="C61" s="55"/>
      <c r="D61" s="56"/>
      <c r="E61" s="56"/>
      <c r="F61" s="42"/>
    </row>
    <row r="62" spans="2:20" ht="16">
      <c r="B62" s="107">
        <f>B60</f>
        <v>49</v>
      </c>
      <c r="C62" s="31" t="s">
        <v>238</v>
      </c>
      <c r="D62" s="32" t="s">
        <v>327</v>
      </c>
      <c r="E62" s="113" t="s">
        <v>319</v>
      </c>
      <c r="F62" s="42"/>
      <c r="H62" s="119">
        <v>1</v>
      </c>
      <c r="I62" s="120">
        <v>1</v>
      </c>
      <c r="J62" s="120">
        <v>1</v>
      </c>
      <c r="K62" s="120">
        <v>1</v>
      </c>
      <c r="L62" s="120">
        <v>1</v>
      </c>
      <c r="M62" s="121">
        <v>1</v>
      </c>
      <c r="N62" s="120">
        <v>1</v>
      </c>
      <c r="O62" s="120">
        <v>1</v>
      </c>
      <c r="P62" s="120">
        <v>1</v>
      </c>
      <c r="Q62" s="121">
        <v>1</v>
      </c>
      <c r="R62" s="120">
        <v>1</v>
      </c>
      <c r="S62" s="120">
        <v>1</v>
      </c>
      <c r="T62" s="121">
        <v>1</v>
      </c>
    </row>
    <row r="63" spans="2:20" ht="192">
      <c r="B63" s="61">
        <f>B62+1</f>
        <v>50</v>
      </c>
      <c r="C63" s="57" t="s">
        <v>301</v>
      </c>
      <c r="D63" s="114">
        <f>'Self-Assessment'!D85</f>
        <v>0</v>
      </c>
      <c r="E63" s="57" t="s">
        <v>345</v>
      </c>
      <c r="F63" s="42"/>
      <c r="H63" s="8">
        <v>1</v>
      </c>
      <c r="N63" s="9">
        <v>1</v>
      </c>
      <c r="R63" s="9">
        <v>1</v>
      </c>
    </row>
    <row r="64" spans="2:20" ht="112">
      <c r="B64" s="61">
        <f t="shared" ref="B64:B81" si="3">B63+1</f>
        <v>51</v>
      </c>
      <c r="C64" s="58" t="s">
        <v>239</v>
      </c>
      <c r="D64" s="115">
        <f>'Self-Assessment'!D86</f>
        <v>0</v>
      </c>
      <c r="E64" s="58" t="s">
        <v>346</v>
      </c>
      <c r="F64" s="42"/>
      <c r="H64" s="8">
        <v>1</v>
      </c>
      <c r="I64" s="9">
        <v>1</v>
      </c>
      <c r="N64" s="9">
        <v>1</v>
      </c>
      <c r="R64" s="9">
        <v>1</v>
      </c>
    </row>
    <row r="65" spans="2:20" ht="128">
      <c r="B65" s="61">
        <f t="shared" si="3"/>
        <v>52</v>
      </c>
      <c r="C65" s="57" t="s">
        <v>302</v>
      </c>
      <c r="D65" s="114">
        <f>'Self-Assessment'!D87</f>
        <v>0</v>
      </c>
      <c r="E65" s="57" t="s">
        <v>392</v>
      </c>
      <c r="F65" s="42"/>
      <c r="J65" s="9">
        <v>1</v>
      </c>
      <c r="L65" s="9">
        <v>1</v>
      </c>
      <c r="P65" s="9">
        <v>1</v>
      </c>
      <c r="S65" s="9">
        <v>1</v>
      </c>
      <c r="T65" s="10">
        <v>1</v>
      </c>
    </row>
    <row r="66" spans="2:20" ht="80">
      <c r="B66" s="61">
        <f t="shared" si="3"/>
        <v>53</v>
      </c>
      <c r="C66" s="58" t="s">
        <v>303</v>
      </c>
      <c r="D66" s="115">
        <f>'Self-Assessment'!D88</f>
        <v>0</v>
      </c>
      <c r="E66" s="58" t="s">
        <v>347</v>
      </c>
      <c r="F66" s="42"/>
      <c r="K66" s="9">
        <v>1</v>
      </c>
      <c r="O66" s="9">
        <v>1</v>
      </c>
      <c r="R66" s="9">
        <v>1</v>
      </c>
    </row>
    <row r="67" spans="2:20" ht="64">
      <c r="B67" s="61">
        <f t="shared" si="3"/>
        <v>54</v>
      </c>
      <c r="C67" s="57" t="s">
        <v>240</v>
      </c>
      <c r="D67" s="114">
        <f>'Self-Assessment'!D89</f>
        <v>0</v>
      </c>
      <c r="E67" s="57" t="s">
        <v>393</v>
      </c>
      <c r="F67" s="42"/>
      <c r="L67" s="9">
        <v>1</v>
      </c>
      <c r="N67" s="9">
        <v>1</v>
      </c>
      <c r="O67" s="9">
        <v>1</v>
      </c>
      <c r="R67" s="9">
        <v>1</v>
      </c>
      <c r="S67" s="9">
        <v>1</v>
      </c>
      <c r="T67" s="10">
        <v>1</v>
      </c>
    </row>
    <row r="68" spans="2:20" ht="64">
      <c r="B68" s="61">
        <f t="shared" si="3"/>
        <v>55</v>
      </c>
      <c r="C68" s="58" t="s">
        <v>241</v>
      </c>
      <c r="D68" s="115">
        <f>'Self-Assessment'!D90</f>
        <v>0</v>
      </c>
      <c r="E68" s="58" t="s">
        <v>348</v>
      </c>
      <c r="F68" s="42"/>
      <c r="K68" s="9">
        <v>1</v>
      </c>
      <c r="P68" s="9">
        <v>1</v>
      </c>
      <c r="Q68" s="10">
        <v>1</v>
      </c>
      <c r="R68" s="9">
        <v>1</v>
      </c>
    </row>
    <row r="69" spans="2:20" ht="64">
      <c r="B69" s="61">
        <f t="shared" si="3"/>
        <v>56</v>
      </c>
      <c r="C69" s="57" t="s">
        <v>242</v>
      </c>
      <c r="D69" s="114">
        <f>'Self-Assessment'!D91</f>
        <v>0</v>
      </c>
      <c r="E69" s="57" t="s">
        <v>349</v>
      </c>
      <c r="F69" s="42"/>
      <c r="K69" s="9">
        <v>1</v>
      </c>
      <c r="L69" s="9">
        <v>1</v>
      </c>
      <c r="N69" s="9">
        <v>1</v>
      </c>
      <c r="R69" s="9">
        <v>1</v>
      </c>
    </row>
    <row r="70" spans="2:20" ht="80">
      <c r="B70" s="61">
        <f t="shared" si="3"/>
        <v>57</v>
      </c>
      <c r="C70" s="58" t="s">
        <v>243</v>
      </c>
      <c r="D70" s="115">
        <f>'Self-Assessment'!D92</f>
        <v>0</v>
      </c>
      <c r="E70" s="58" t="s">
        <v>394</v>
      </c>
      <c r="F70" s="42"/>
      <c r="K70" s="9">
        <v>1</v>
      </c>
      <c r="O70" s="9">
        <v>1</v>
      </c>
      <c r="R70" s="9">
        <v>1</v>
      </c>
    </row>
    <row r="71" spans="2:20" ht="64">
      <c r="B71" s="61">
        <f t="shared" si="3"/>
        <v>58</v>
      </c>
      <c r="C71" s="57" t="s">
        <v>304</v>
      </c>
      <c r="D71" s="114">
        <f>'Self-Assessment'!D93</f>
        <v>0</v>
      </c>
      <c r="E71" s="57" t="s">
        <v>395</v>
      </c>
      <c r="F71" s="42"/>
      <c r="K71" s="9">
        <v>1</v>
      </c>
      <c r="O71" s="9">
        <v>1</v>
      </c>
      <c r="R71" s="9">
        <v>1</v>
      </c>
    </row>
    <row r="72" spans="2:20" ht="80">
      <c r="B72" s="61">
        <f t="shared" si="3"/>
        <v>59</v>
      </c>
      <c r="C72" s="58" t="s">
        <v>305</v>
      </c>
      <c r="D72" s="115">
        <f>'Self-Assessment'!D94</f>
        <v>0</v>
      </c>
      <c r="E72" s="58" t="s">
        <v>396</v>
      </c>
      <c r="F72" s="42"/>
      <c r="K72" s="9">
        <v>1</v>
      </c>
      <c r="N72" s="9">
        <v>1</v>
      </c>
      <c r="T72" s="10">
        <v>1</v>
      </c>
    </row>
    <row r="73" spans="2:20" ht="64">
      <c r="B73" s="61">
        <f t="shared" si="3"/>
        <v>60</v>
      </c>
      <c r="C73" s="57" t="s">
        <v>244</v>
      </c>
      <c r="D73" s="114">
        <f>'Self-Assessment'!D95</f>
        <v>0</v>
      </c>
      <c r="E73" s="57" t="s">
        <v>350</v>
      </c>
      <c r="F73" s="42"/>
      <c r="K73" s="9">
        <v>1</v>
      </c>
      <c r="Q73" s="10">
        <v>1</v>
      </c>
      <c r="R73" s="9">
        <v>1</v>
      </c>
    </row>
    <row r="74" spans="2:20" ht="80">
      <c r="B74" s="61">
        <f t="shared" si="3"/>
        <v>61</v>
      </c>
      <c r="C74" s="58" t="s">
        <v>306</v>
      </c>
      <c r="D74" s="115">
        <f>'Self-Assessment'!D96</f>
        <v>0</v>
      </c>
      <c r="E74" s="58" t="s">
        <v>397</v>
      </c>
      <c r="F74" s="42"/>
      <c r="I74" s="9">
        <v>1</v>
      </c>
      <c r="O74" s="9">
        <v>1</v>
      </c>
      <c r="T74" s="10">
        <v>1</v>
      </c>
    </row>
    <row r="75" spans="2:20" ht="80">
      <c r="B75" s="61">
        <f t="shared" si="3"/>
        <v>62</v>
      </c>
      <c r="C75" s="57" t="s">
        <v>307</v>
      </c>
      <c r="D75" s="114">
        <f>'Self-Assessment'!D97</f>
        <v>0</v>
      </c>
      <c r="E75" s="57" t="s">
        <v>351</v>
      </c>
      <c r="F75" s="42"/>
      <c r="K75" s="9">
        <v>1</v>
      </c>
      <c r="P75" s="9">
        <v>1</v>
      </c>
      <c r="Q75" s="10">
        <v>1</v>
      </c>
      <c r="R75" s="9">
        <v>1</v>
      </c>
      <c r="S75" s="9">
        <v>1</v>
      </c>
      <c r="T75" s="10">
        <v>1</v>
      </c>
    </row>
    <row r="76" spans="2:20" ht="80">
      <c r="B76" s="61">
        <f t="shared" si="3"/>
        <v>63</v>
      </c>
      <c r="C76" s="58" t="s">
        <v>308</v>
      </c>
      <c r="D76" s="115">
        <f>'Self-Assessment'!D98</f>
        <v>0</v>
      </c>
      <c r="E76" s="58" t="s">
        <v>352</v>
      </c>
      <c r="F76" s="42"/>
      <c r="K76" s="9">
        <v>1</v>
      </c>
      <c r="N76" s="9">
        <v>1</v>
      </c>
      <c r="R76" s="9">
        <v>1</v>
      </c>
    </row>
    <row r="77" spans="2:20" ht="64">
      <c r="B77" s="61">
        <f t="shared" si="3"/>
        <v>64</v>
      </c>
      <c r="C77" s="57" t="s">
        <v>309</v>
      </c>
      <c r="D77" s="114">
        <f>'Self-Assessment'!D99</f>
        <v>0</v>
      </c>
      <c r="E77" s="57" t="s">
        <v>398</v>
      </c>
      <c r="F77" s="42"/>
      <c r="J77" s="9">
        <v>1</v>
      </c>
      <c r="K77" s="9">
        <v>1</v>
      </c>
      <c r="N77" s="9">
        <v>1</v>
      </c>
      <c r="P77" s="9">
        <v>1</v>
      </c>
      <c r="R77" s="9">
        <v>1</v>
      </c>
      <c r="S77" s="9">
        <v>1</v>
      </c>
    </row>
    <row r="78" spans="2:20" ht="64">
      <c r="B78" s="61">
        <f t="shared" si="3"/>
        <v>65</v>
      </c>
      <c r="C78" s="58" t="s">
        <v>310</v>
      </c>
      <c r="D78" s="115">
        <f>'Self-Assessment'!D100</f>
        <v>0</v>
      </c>
      <c r="E78" s="58" t="s">
        <v>353</v>
      </c>
      <c r="F78" s="42"/>
      <c r="J78" s="9">
        <v>1</v>
      </c>
      <c r="O78" s="9">
        <v>1</v>
      </c>
      <c r="T78" s="10">
        <v>1</v>
      </c>
    </row>
    <row r="79" spans="2:20" ht="96">
      <c r="B79" s="61">
        <f t="shared" si="3"/>
        <v>66</v>
      </c>
      <c r="C79" s="57" t="s">
        <v>311</v>
      </c>
      <c r="D79" s="114">
        <f>'Self-Assessment'!D101</f>
        <v>0</v>
      </c>
      <c r="E79" s="57" t="s">
        <v>399</v>
      </c>
      <c r="F79" s="42"/>
      <c r="H79" s="8">
        <v>1</v>
      </c>
      <c r="Q79" s="10">
        <v>1</v>
      </c>
      <c r="T79" s="10">
        <v>1</v>
      </c>
    </row>
    <row r="80" spans="2:20" ht="64">
      <c r="B80" s="61">
        <f t="shared" si="3"/>
        <v>67</v>
      </c>
      <c r="C80" s="58" t="s">
        <v>245</v>
      </c>
      <c r="D80" s="115">
        <f>'Self-Assessment'!D102</f>
        <v>0</v>
      </c>
      <c r="E80" s="58" t="s">
        <v>400</v>
      </c>
      <c r="F80" s="42"/>
      <c r="H80" s="8">
        <v>1</v>
      </c>
      <c r="J80" s="9">
        <v>1</v>
      </c>
      <c r="N80" s="9">
        <v>1</v>
      </c>
      <c r="Q80" s="10">
        <v>1</v>
      </c>
      <c r="R80" s="9">
        <v>1</v>
      </c>
    </row>
    <row r="81" spans="2:20" ht="65" thickBot="1">
      <c r="B81" s="61">
        <f t="shared" si="3"/>
        <v>68</v>
      </c>
      <c r="C81" s="60" t="s">
        <v>246</v>
      </c>
      <c r="D81" s="116">
        <f>'Self-Assessment'!D103</f>
        <v>0</v>
      </c>
      <c r="E81" s="60" t="s">
        <v>354</v>
      </c>
      <c r="F81" s="42"/>
      <c r="H81" s="8">
        <v>1</v>
      </c>
      <c r="K81" s="9">
        <v>1</v>
      </c>
      <c r="Q81" s="10">
        <v>1</v>
      </c>
      <c r="R81" s="9">
        <v>1</v>
      </c>
      <c r="T81" s="10">
        <v>1</v>
      </c>
    </row>
    <row r="82" spans="2:20" ht="21">
      <c r="B82" s="39"/>
      <c r="C82" s="55"/>
      <c r="D82" s="56"/>
      <c r="E82" s="56"/>
      <c r="F82" s="42"/>
    </row>
    <row r="83" spans="2:20" ht="16">
      <c r="B83" s="107">
        <f>B81</f>
        <v>68</v>
      </c>
      <c r="C83" s="31" t="s">
        <v>247</v>
      </c>
      <c r="D83" s="32" t="s">
        <v>327</v>
      </c>
      <c r="E83" s="113" t="s">
        <v>319</v>
      </c>
      <c r="F83" s="42"/>
      <c r="H83" s="119">
        <v>1</v>
      </c>
      <c r="I83" s="120">
        <v>1</v>
      </c>
      <c r="J83" s="120">
        <v>1</v>
      </c>
      <c r="K83" s="120">
        <v>1</v>
      </c>
      <c r="L83" s="120">
        <v>1</v>
      </c>
      <c r="M83" s="121">
        <v>1</v>
      </c>
      <c r="N83" s="120">
        <v>1</v>
      </c>
      <c r="O83" s="120">
        <v>1</v>
      </c>
      <c r="P83" s="120">
        <v>1</v>
      </c>
      <c r="Q83" s="121">
        <v>1</v>
      </c>
      <c r="R83" s="120">
        <v>1</v>
      </c>
      <c r="S83" s="120">
        <v>1</v>
      </c>
      <c r="T83" s="121">
        <v>1</v>
      </c>
    </row>
    <row r="84" spans="2:20" ht="160">
      <c r="B84" s="63">
        <f>B83+1</f>
        <v>69</v>
      </c>
      <c r="C84" s="57" t="s">
        <v>312</v>
      </c>
      <c r="D84" s="114">
        <f>'Self-Assessment'!D106</f>
        <v>0</v>
      </c>
      <c r="E84" s="57" t="s">
        <v>401</v>
      </c>
      <c r="F84" s="42"/>
      <c r="H84" s="8">
        <v>1</v>
      </c>
      <c r="I84" s="9">
        <v>1</v>
      </c>
      <c r="K84" s="9">
        <v>1</v>
      </c>
      <c r="M84" s="10">
        <v>1</v>
      </c>
      <c r="N84" s="9">
        <v>1</v>
      </c>
      <c r="O84" s="9">
        <v>1</v>
      </c>
      <c r="T84" s="10">
        <v>1</v>
      </c>
    </row>
    <row r="85" spans="2:20" ht="80">
      <c r="B85" s="63">
        <f t="shared" ref="B85:B95" si="4">B84+1</f>
        <v>70</v>
      </c>
      <c r="C85" s="58" t="s">
        <v>313</v>
      </c>
      <c r="D85" s="115">
        <f>'Self-Assessment'!D107</f>
        <v>0</v>
      </c>
      <c r="E85" s="58" t="s">
        <v>402</v>
      </c>
      <c r="F85" s="42"/>
      <c r="J85" s="9">
        <v>1</v>
      </c>
      <c r="L85" s="9">
        <v>1</v>
      </c>
      <c r="M85" s="10">
        <v>1</v>
      </c>
      <c r="O85" s="9">
        <v>1</v>
      </c>
      <c r="Q85" s="10">
        <v>1</v>
      </c>
      <c r="T85" s="10">
        <v>1</v>
      </c>
    </row>
    <row r="86" spans="2:20" ht="144">
      <c r="B86" s="63">
        <f t="shared" si="4"/>
        <v>71</v>
      </c>
      <c r="C86" s="57" t="s">
        <v>314</v>
      </c>
      <c r="D86" s="114">
        <f>'Self-Assessment'!D108</f>
        <v>0</v>
      </c>
      <c r="E86" s="57" t="s">
        <v>355</v>
      </c>
      <c r="F86" s="42"/>
      <c r="J86" s="9">
        <v>1</v>
      </c>
      <c r="O86" s="9">
        <v>1</v>
      </c>
      <c r="T86" s="10">
        <v>1</v>
      </c>
    </row>
    <row r="87" spans="2:20" ht="112">
      <c r="B87" s="63">
        <f t="shared" si="4"/>
        <v>72</v>
      </c>
      <c r="C87" s="58" t="s">
        <v>248</v>
      </c>
      <c r="D87" s="115">
        <f>'Self-Assessment'!D109</f>
        <v>0</v>
      </c>
      <c r="E87" s="58" t="s">
        <v>403</v>
      </c>
      <c r="F87" s="42"/>
      <c r="H87" s="8">
        <v>1</v>
      </c>
      <c r="N87" s="9">
        <v>1</v>
      </c>
      <c r="T87" s="10">
        <v>1</v>
      </c>
    </row>
    <row r="88" spans="2:20" ht="64">
      <c r="B88" s="63">
        <f t="shared" si="4"/>
        <v>73</v>
      </c>
      <c r="C88" s="57" t="s">
        <v>315</v>
      </c>
      <c r="D88" s="114">
        <f>'Self-Assessment'!D110</f>
        <v>0</v>
      </c>
      <c r="E88" s="57" t="s">
        <v>404</v>
      </c>
      <c r="F88" s="42"/>
      <c r="H88" s="8">
        <v>1</v>
      </c>
      <c r="K88" s="9">
        <v>1</v>
      </c>
      <c r="Q88" s="10">
        <v>1</v>
      </c>
      <c r="T88" s="10">
        <v>1</v>
      </c>
    </row>
    <row r="89" spans="2:20" ht="64">
      <c r="B89" s="63">
        <f t="shared" si="4"/>
        <v>74</v>
      </c>
      <c r="C89" s="58" t="s">
        <v>249</v>
      </c>
      <c r="D89" s="115">
        <f>'Self-Assessment'!D111</f>
        <v>0</v>
      </c>
      <c r="E89" s="58" t="s">
        <v>356</v>
      </c>
      <c r="F89" s="42"/>
      <c r="I89" s="9">
        <v>1</v>
      </c>
      <c r="Q89" s="10">
        <v>1</v>
      </c>
      <c r="T89" s="10">
        <v>1</v>
      </c>
    </row>
    <row r="90" spans="2:20" ht="80">
      <c r="B90" s="63">
        <f t="shared" si="4"/>
        <v>75</v>
      </c>
      <c r="C90" s="57" t="s">
        <v>250</v>
      </c>
      <c r="D90" s="114">
        <f>'Self-Assessment'!D112</f>
        <v>0</v>
      </c>
      <c r="E90" s="57" t="s">
        <v>405</v>
      </c>
      <c r="F90" s="42"/>
      <c r="L90" s="9">
        <v>1</v>
      </c>
      <c r="Q90" s="10">
        <v>1</v>
      </c>
      <c r="T90" s="10">
        <v>1</v>
      </c>
    </row>
    <row r="91" spans="2:20" ht="80">
      <c r="B91" s="63">
        <f t="shared" si="4"/>
        <v>76</v>
      </c>
      <c r="C91" s="58" t="s">
        <v>316</v>
      </c>
      <c r="D91" s="115">
        <f>'Self-Assessment'!D113</f>
        <v>0</v>
      </c>
      <c r="E91" s="58" t="s">
        <v>406</v>
      </c>
      <c r="F91" s="42"/>
      <c r="I91" s="9">
        <v>1</v>
      </c>
      <c r="Q91" s="10">
        <v>1</v>
      </c>
      <c r="S91" s="9">
        <v>1</v>
      </c>
    </row>
    <row r="92" spans="2:20" ht="80">
      <c r="B92" s="63">
        <f t="shared" si="4"/>
        <v>77</v>
      </c>
      <c r="C92" s="57" t="s">
        <v>317</v>
      </c>
      <c r="D92" s="114">
        <f>'Self-Assessment'!D114</f>
        <v>0</v>
      </c>
      <c r="E92" s="57" t="s">
        <v>407</v>
      </c>
      <c r="F92" s="42"/>
      <c r="L92" s="9">
        <v>1</v>
      </c>
      <c r="O92" s="9">
        <v>1</v>
      </c>
      <c r="P92" s="9">
        <v>1</v>
      </c>
      <c r="T92" s="10">
        <v>1</v>
      </c>
    </row>
    <row r="93" spans="2:20" ht="80">
      <c r="B93" s="63">
        <f t="shared" si="4"/>
        <v>78</v>
      </c>
      <c r="C93" s="58" t="s">
        <v>251</v>
      </c>
      <c r="D93" s="115">
        <f>'Self-Assessment'!D115</f>
        <v>0</v>
      </c>
      <c r="E93" s="58" t="s">
        <v>408</v>
      </c>
      <c r="F93" s="42"/>
      <c r="I93" s="9">
        <v>1</v>
      </c>
      <c r="Q93" s="10">
        <v>1</v>
      </c>
      <c r="T93" s="10">
        <v>1</v>
      </c>
    </row>
    <row r="94" spans="2:20" ht="112">
      <c r="B94" s="63">
        <f t="shared" si="4"/>
        <v>79</v>
      </c>
      <c r="C94" s="57" t="s">
        <v>271</v>
      </c>
      <c r="D94" s="114">
        <f>'Self-Assessment'!D116</f>
        <v>0</v>
      </c>
      <c r="E94" s="57" t="s">
        <v>409</v>
      </c>
      <c r="F94" s="42"/>
      <c r="J94" s="9">
        <v>1</v>
      </c>
      <c r="Q94" s="10">
        <v>1</v>
      </c>
      <c r="R94" s="9">
        <v>1</v>
      </c>
    </row>
    <row r="95" spans="2:20" ht="81" thickBot="1">
      <c r="B95" s="63">
        <f t="shared" si="4"/>
        <v>80</v>
      </c>
      <c r="C95" s="59" t="s">
        <v>252</v>
      </c>
      <c r="D95" s="117">
        <f>'Self-Assessment'!D117</f>
        <v>0</v>
      </c>
      <c r="E95" s="59" t="s">
        <v>410</v>
      </c>
      <c r="F95" s="42"/>
      <c r="I95" s="9">
        <v>1</v>
      </c>
      <c r="Q95" s="10">
        <v>1</v>
      </c>
      <c r="T95" s="10">
        <v>1</v>
      </c>
    </row>
    <row r="96" spans="2:20" ht="16">
      <c r="B96" s="64"/>
      <c r="C96" s="65"/>
      <c r="D96" s="66"/>
      <c r="E96" s="66"/>
      <c r="F96" s="67"/>
    </row>
    <row r="97" spans="1:20" s="12" customFormat="1" ht="16">
      <c r="A97" s="4"/>
      <c r="C97" s="17"/>
      <c r="D97" s="9"/>
      <c r="E97" s="9"/>
      <c r="G97" s="4"/>
      <c r="H97" s="9"/>
      <c r="I97" s="9"/>
      <c r="J97" s="9"/>
      <c r="K97" s="9"/>
      <c r="L97" s="9"/>
      <c r="M97" s="9"/>
      <c r="N97" s="9"/>
      <c r="O97" s="9"/>
      <c r="P97" s="9"/>
      <c r="Q97" s="9"/>
      <c r="R97" s="9"/>
      <c r="S97" s="9"/>
      <c r="T97" s="9"/>
    </row>
    <row r="98" spans="1:20" ht="16" hidden="1">
      <c r="B98" s="53"/>
      <c r="F98" s="54"/>
    </row>
    <row r="99" spans="1:20" ht="16" hidden="1">
      <c r="B99" s="53"/>
      <c r="F99" s="54"/>
    </row>
    <row r="100" spans="1:20" ht="16" hidden="1">
      <c r="B100" s="53"/>
      <c r="F100" s="54"/>
    </row>
    <row r="101" spans="1:20" ht="16" hidden="1" customHeight="1"/>
    <row r="102" spans="1:20" ht="16" hidden="1" customHeight="1"/>
    <row r="103" spans="1:20" ht="16" hidden="1" customHeight="1"/>
    <row r="104" spans="1:20" ht="16" hidden="1" customHeight="1"/>
    <row r="105" spans="1:20" ht="16" hidden="1" customHeight="1"/>
    <row r="106" spans="1:20" ht="16" hidden="1" customHeight="1"/>
    <row r="107" spans="1:20" ht="16" hidden="1" customHeight="1"/>
    <row r="108" spans="1:20" ht="16" hidden="1" customHeight="1"/>
    <row r="109" spans="1:20" ht="16" hidden="1" customHeight="1"/>
    <row r="110" spans="1:20" ht="16" hidden="1" customHeight="1"/>
    <row r="111" spans="1:20" ht="16" hidden="1" customHeight="1"/>
    <row r="112" spans="1:20" ht="16" hidden="1" customHeight="1"/>
    <row r="113" ht="16" hidden="1" customHeight="1"/>
    <row r="114" ht="16" hidden="1" customHeight="1"/>
    <row r="115" ht="16" hidden="1" customHeight="1"/>
    <row r="116" ht="16" hidden="1" customHeight="1"/>
    <row r="117" ht="16" hidden="1" customHeight="1"/>
    <row r="118" ht="16" hidden="1" customHeight="1"/>
    <row r="119" ht="16" hidden="1" customHeight="1"/>
    <row r="120" ht="16" hidden="1" customHeight="1"/>
    <row r="121" ht="16" hidden="1" customHeight="1"/>
    <row r="122" ht="16" hidden="1" customHeight="1"/>
    <row r="123" ht="16" hidden="1" customHeight="1"/>
  </sheetData>
  <sheetProtection sheet="1" autoFilter="0"/>
  <autoFilter ref="B7:T95" xr:uid="{049A865B-42F4-DF45-BC0A-F128E7564194}"/>
  <mergeCells count="7">
    <mergeCell ref="C3:E3"/>
    <mergeCell ref="C4:E4"/>
    <mergeCell ref="H6:M6"/>
    <mergeCell ref="N6:Q6"/>
    <mergeCell ref="R6:T6"/>
    <mergeCell ref="C5:E5"/>
    <mergeCell ref="C6:D6"/>
  </mergeCells>
  <dataValidations count="1">
    <dataValidation type="decimal" allowBlank="1" showInputMessage="1" showErrorMessage="1" sqref="D52:D59 D35:D49 D84:D95 D8:D32 D63:D80" xr:uid="{AF79D217-4D3C-D84D-8C19-CB1FE26B1C66}">
      <formula1>0</formula1>
      <formula2>3</formula2>
    </dataValidation>
  </dataValidations>
  <pageMargins left="0.7" right="0.7" top="0.75" bottom="0.75" header="0.3" footer="0.3"/>
  <pageSetup scale="72" fitToHeight="2" orientation="portrait" horizontalDpi="0" verticalDpi="0"/>
  <rowBreaks count="5" manualBreakCount="5">
    <brk id="6" max="5" man="1"/>
    <brk id="19" max="5" man="1"/>
    <brk id="33" max="5" man="1"/>
    <brk id="61" max="5" man="1"/>
    <brk id="82" max="5" man="1"/>
  </rowBreak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816ED-796A-0E41-9E80-F14C980D10FA}">
  <dimension ref="A1:G42"/>
  <sheetViews>
    <sheetView zoomScaleNormal="100" workbookViewId="0">
      <selection activeCell="D23" sqref="D23"/>
    </sheetView>
  </sheetViews>
  <sheetFormatPr baseColWidth="10" defaultColWidth="0" defaultRowHeight="16" zeroHeight="1"/>
  <cols>
    <col min="1" max="1" width="2.5" style="4" customWidth="1"/>
    <col min="2" max="2" width="2.5" style="5" customWidth="1"/>
    <col min="3" max="3" width="93.83203125" style="6" customWidth="1"/>
    <col min="4" max="4" width="2.5" style="5" customWidth="1"/>
    <col min="5" max="5" width="2.5" style="4" customWidth="1"/>
    <col min="6" max="6" width="10.83203125" style="5" hidden="1" customWidth="1"/>
    <col min="7" max="7" width="0" style="5" hidden="1" customWidth="1"/>
    <col min="8" max="16384" width="10.83203125" style="5" hidden="1"/>
  </cols>
  <sheetData>
    <row r="1" spans="1:6">
      <c r="A1" s="2"/>
      <c r="B1" s="2"/>
      <c r="C1" s="2"/>
      <c r="D1" s="3"/>
      <c r="E1" s="2"/>
    </row>
    <row r="2" spans="1:6" ht="17" thickBot="1">
      <c r="B2" s="38"/>
      <c r="C2" s="37"/>
      <c r="D2" s="41"/>
    </row>
    <row r="3" spans="1:6" ht="68" customHeight="1" thickBot="1">
      <c r="B3" s="39"/>
      <c r="C3" s="140" t="s">
        <v>1</v>
      </c>
      <c r="D3" s="42"/>
    </row>
    <row r="4" spans="1:6" ht="19">
      <c r="B4" s="39"/>
      <c r="C4" s="45" t="s">
        <v>217</v>
      </c>
      <c r="D4" s="42"/>
    </row>
    <row r="5" spans="1:6">
      <c r="B5" s="39"/>
      <c r="C5" s="52"/>
      <c r="D5" s="42"/>
    </row>
    <row r="6" spans="1:6" ht="21">
      <c r="B6" s="39"/>
      <c r="C6" s="55" t="s">
        <v>21</v>
      </c>
      <c r="D6" s="42"/>
    </row>
    <row r="7" spans="1:6" s="93" customFormat="1" ht="17">
      <c r="A7" s="89"/>
      <c r="B7" s="90"/>
      <c r="C7" s="97" t="s">
        <v>5</v>
      </c>
      <c r="D7" s="103"/>
      <c r="E7" s="94"/>
      <c r="F7" s="68"/>
    </row>
    <row r="8" spans="1:6" s="93" customFormat="1" ht="96">
      <c r="A8" s="89"/>
      <c r="B8" s="90"/>
      <c r="C8" s="88" t="s">
        <v>39</v>
      </c>
      <c r="D8" s="104"/>
      <c r="E8" s="95"/>
      <c r="F8" s="88"/>
    </row>
    <row r="9" spans="1:6" s="93" customFormat="1">
      <c r="A9" s="89"/>
      <c r="B9" s="90"/>
      <c r="C9" s="91"/>
      <c r="D9" s="92"/>
      <c r="E9" s="89"/>
    </row>
    <row r="10" spans="1:6" s="93" customFormat="1" ht="17">
      <c r="A10" s="89"/>
      <c r="B10" s="90"/>
      <c r="C10" s="97" t="s">
        <v>6</v>
      </c>
      <c r="D10" s="103"/>
      <c r="E10" s="94"/>
      <c r="F10" s="68"/>
    </row>
    <row r="11" spans="1:6" s="93" customFormat="1" ht="128">
      <c r="A11" s="89"/>
      <c r="B11" s="90"/>
      <c r="C11" s="88" t="s">
        <v>41</v>
      </c>
      <c r="D11" s="104"/>
      <c r="E11" s="95"/>
      <c r="F11" s="88"/>
    </row>
    <row r="12" spans="1:6" s="93" customFormat="1">
      <c r="A12" s="89"/>
      <c r="B12" s="90"/>
      <c r="C12" s="88"/>
      <c r="D12" s="92"/>
      <c r="E12" s="89"/>
    </row>
    <row r="13" spans="1:6" s="93" customFormat="1" ht="17">
      <c r="A13" s="89"/>
      <c r="B13" s="90"/>
      <c r="C13" s="97" t="s">
        <v>7</v>
      </c>
      <c r="D13" s="103"/>
      <c r="E13" s="94"/>
      <c r="F13" s="68"/>
    </row>
    <row r="14" spans="1:6" s="93" customFormat="1" ht="161" customHeight="1">
      <c r="A14" s="89"/>
      <c r="B14" s="90"/>
      <c r="C14" s="88" t="s">
        <v>42</v>
      </c>
      <c r="D14" s="104"/>
      <c r="E14" s="95"/>
      <c r="F14" s="88"/>
    </row>
    <row r="15" spans="1:6" s="93" customFormat="1">
      <c r="A15" s="89"/>
      <c r="B15" s="90"/>
      <c r="C15" s="98"/>
      <c r="D15" s="92"/>
      <c r="E15" s="89"/>
    </row>
    <row r="16" spans="1:6" s="93" customFormat="1" ht="17">
      <c r="A16" s="89"/>
      <c r="B16" s="90"/>
      <c r="C16" s="97" t="s">
        <v>270</v>
      </c>
      <c r="D16" s="103"/>
      <c r="E16" s="94"/>
      <c r="F16" s="68"/>
    </row>
    <row r="17" spans="1:6" s="93" customFormat="1" ht="160">
      <c r="A17" s="89"/>
      <c r="B17" s="90"/>
      <c r="C17" s="88" t="s">
        <v>45</v>
      </c>
      <c r="D17" s="104"/>
      <c r="E17" s="95"/>
      <c r="F17" s="88"/>
    </row>
    <row r="18" spans="1:6" s="93" customFormat="1">
      <c r="A18" s="89"/>
      <c r="B18" s="90"/>
      <c r="C18" s="98"/>
      <c r="D18" s="92"/>
      <c r="E18" s="89"/>
    </row>
    <row r="19" spans="1:6" s="93" customFormat="1" ht="17">
      <c r="A19" s="89"/>
      <c r="B19" s="90"/>
      <c r="C19" s="97" t="s">
        <v>8</v>
      </c>
      <c r="D19" s="103"/>
      <c r="E19" s="94"/>
      <c r="F19" s="68"/>
    </row>
    <row r="20" spans="1:6" s="93" customFormat="1" ht="160">
      <c r="A20" s="89"/>
      <c r="B20" s="90"/>
      <c r="C20" s="88" t="s">
        <v>43</v>
      </c>
      <c r="D20" s="104"/>
      <c r="E20" s="95"/>
      <c r="F20" s="88"/>
    </row>
    <row r="21" spans="1:6" s="93" customFormat="1">
      <c r="A21" s="89"/>
      <c r="B21" s="90"/>
      <c r="C21" s="88"/>
      <c r="D21" s="104"/>
      <c r="E21" s="96"/>
      <c r="F21" s="46"/>
    </row>
    <row r="22" spans="1:6" s="93" customFormat="1" ht="17">
      <c r="A22" s="89"/>
      <c r="B22" s="90"/>
      <c r="C22" s="97" t="s">
        <v>9</v>
      </c>
      <c r="D22" s="103"/>
      <c r="E22" s="94"/>
      <c r="F22" s="68"/>
    </row>
    <row r="23" spans="1:6" s="93" customFormat="1" ht="160">
      <c r="A23" s="89"/>
      <c r="B23" s="90"/>
      <c r="C23" s="88" t="s">
        <v>44</v>
      </c>
      <c r="D23" s="104"/>
      <c r="E23" s="95"/>
      <c r="F23" s="88"/>
    </row>
    <row r="24" spans="1:6" s="93" customFormat="1">
      <c r="A24" s="89"/>
      <c r="B24" s="90"/>
      <c r="C24" s="46"/>
      <c r="D24" s="105"/>
      <c r="E24" s="96"/>
      <c r="F24" s="46"/>
    </row>
    <row r="25" spans="1:6" s="93" customFormat="1" ht="22">
      <c r="A25" s="89"/>
      <c r="B25" s="90"/>
      <c r="C25" s="99" t="s">
        <v>253</v>
      </c>
      <c r="D25" s="92"/>
      <c r="E25" s="89"/>
    </row>
    <row r="26" spans="1:6" s="93" customFormat="1" ht="17">
      <c r="A26" s="89"/>
      <c r="B26" s="90"/>
      <c r="C26" s="100" t="s">
        <v>261</v>
      </c>
      <c r="D26" s="92"/>
      <c r="E26" s="89"/>
    </row>
    <row r="27" spans="1:6" s="93" customFormat="1" ht="48">
      <c r="A27" s="89"/>
      <c r="B27" s="90"/>
      <c r="C27" s="101" t="s">
        <v>262</v>
      </c>
      <c r="D27" s="92"/>
      <c r="E27" s="89"/>
    </row>
    <row r="28" spans="1:6" s="93" customFormat="1" ht="17">
      <c r="A28" s="89"/>
      <c r="B28" s="90"/>
      <c r="C28" s="100" t="s">
        <v>33</v>
      </c>
      <c r="D28" s="92"/>
      <c r="E28" s="89"/>
    </row>
    <row r="29" spans="1:6" s="93" customFormat="1" ht="64">
      <c r="A29" s="89"/>
      <c r="B29" s="90"/>
      <c r="C29" s="101" t="s">
        <v>263</v>
      </c>
      <c r="D29" s="92"/>
      <c r="E29" s="89"/>
    </row>
    <row r="30" spans="1:6" s="93" customFormat="1" ht="17">
      <c r="A30" s="89"/>
      <c r="B30" s="90"/>
      <c r="C30" s="100" t="s">
        <v>264</v>
      </c>
      <c r="D30" s="92"/>
      <c r="E30" s="89"/>
    </row>
    <row r="31" spans="1:6" s="93" customFormat="1" ht="64">
      <c r="A31" s="89"/>
      <c r="B31" s="90"/>
      <c r="C31" s="101" t="s">
        <v>265</v>
      </c>
      <c r="D31" s="92"/>
      <c r="E31" s="89"/>
    </row>
    <row r="32" spans="1:6" s="93" customFormat="1" ht="17">
      <c r="A32" s="89"/>
      <c r="B32" s="90"/>
      <c r="C32" s="100" t="s">
        <v>35</v>
      </c>
      <c r="D32" s="92"/>
      <c r="E32" s="89"/>
    </row>
    <row r="33" spans="1:5" s="93" customFormat="1" ht="64">
      <c r="A33" s="89"/>
      <c r="B33" s="90"/>
      <c r="C33" s="101" t="s">
        <v>266</v>
      </c>
      <c r="D33" s="92"/>
      <c r="E33" s="89"/>
    </row>
    <row r="34" spans="1:5" s="93" customFormat="1" ht="21">
      <c r="A34" s="89"/>
      <c r="B34" s="90"/>
      <c r="C34" s="102"/>
      <c r="D34" s="92"/>
      <c r="E34" s="89"/>
    </row>
    <row r="35" spans="1:5" s="93" customFormat="1" ht="22">
      <c r="A35" s="89"/>
      <c r="B35" s="90"/>
      <c r="C35" s="99" t="s">
        <v>31</v>
      </c>
      <c r="D35" s="92"/>
      <c r="E35" s="89"/>
    </row>
    <row r="36" spans="1:5" s="93" customFormat="1" ht="17">
      <c r="A36" s="89"/>
      <c r="B36" s="90"/>
      <c r="C36" s="100" t="s">
        <v>36</v>
      </c>
      <c r="D36" s="92"/>
      <c r="E36" s="89"/>
    </row>
    <row r="37" spans="1:5" s="93" customFormat="1" ht="80">
      <c r="A37" s="89"/>
      <c r="B37" s="90"/>
      <c r="C37" s="101" t="s">
        <v>267</v>
      </c>
      <c r="D37" s="92"/>
      <c r="E37" s="89"/>
    </row>
    <row r="38" spans="1:5" s="93" customFormat="1" ht="17">
      <c r="A38" s="89"/>
      <c r="B38" s="90"/>
      <c r="C38" s="100" t="s">
        <v>37</v>
      </c>
      <c r="D38" s="92"/>
      <c r="E38" s="89"/>
    </row>
    <row r="39" spans="1:5" s="93" customFormat="1" ht="96">
      <c r="A39" s="89"/>
      <c r="B39" s="90"/>
      <c r="C39" s="101" t="s">
        <v>268</v>
      </c>
      <c r="D39" s="92"/>
      <c r="E39" s="89"/>
    </row>
    <row r="40" spans="1:5" s="93" customFormat="1" ht="17">
      <c r="A40" s="89"/>
      <c r="B40" s="90"/>
      <c r="C40" s="100" t="s">
        <v>38</v>
      </c>
      <c r="D40" s="92"/>
      <c r="E40" s="89"/>
    </row>
    <row r="41" spans="1:5" ht="80">
      <c r="B41" s="64"/>
      <c r="C41" s="106" t="s">
        <v>269</v>
      </c>
      <c r="D41" s="67"/>
    </row>
    <row r="42" spans="1:5">
      <c r="A42" s="2"/>
      <c r="B42" s="2"/>
      <c r="C42" s="2"/>
      <c r="D42" s="3"/>
      <c r="E42" s="2"/>
    </row>
  </sheetData>
  <sheetProtection sheet="1" objects="1" scenarios="1"/>
  <pageMargins left="0.7" right="0.7" top="0.75" bottom="0.75" header="0.3" footer="0.3"/>
  <pageSetup scale="82" orientation="portrait" horizontalDpi="0" verticalDpi="0"/>
  <rowBreaks count="2" manualBreakCount="2">
    <brk id="18" max="4" man="1"/>
    <brk id="34" max="4"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CE609-0457-C943-BD7B-7CA213367F28}">
  <dimension ref="A1:D99"/>
  <sheetViews>
    <sheetView topLeftCell="A2" workbookViewId="0">
      <selection activeCell="F32" sqref="F32"/>
    </sheetView>
  </sheetViews>
  <sheetFormatPr baseColWidth="10" defaultRowHeight="16"/>
  <sheetData>
    <row r="1" spans="1:4">
      <c r="A1" t="s">
        <v>56</v>
      </c>
      <c r="B1" t="s">
        <v>64</v>
      </c>
      <c r="C1" t="s">
        <v>210</v>
      </c>
    </row>
    <row r="2" spans="1:4">
      <c r="A2" t="s">
        <v>159</v>
      </c>
      <c r="B2" t="s">
        <v>160</v>
      </c>
      <c r="C2" t="str">
        <f>B2&amp;" - "&amp;A2</f>
        <v>Argentina - Buenos Aires</v>
      </c>
      <c r="D2" s="1"/>
    </row>
    <row r="3" spans="1:4">
      <c r="A3" t="s">
        <v>114</v>
      </c>
      <c r="B3" t="s">
        <v>115</v>
      </c>
      <c r="C3" t="str">
        <f t="shared" ref="C3:C66" si="0">B3&amp;" - "&amp;A3</f>
        <v>Australia - Melbourne</v>
      </c>
      <c r="D3" s="1"/>
    </row>
    <row r="4" spans="1:4">
      <c r="A4" t="s">
        <v>121</v>
      </c>
      <c r="B4" t="s">
        <v>115</v>
      </c>
      <c r="C4" t="str">
        <f t="shared" si="0"/>
        <v>Australia - Sydney</v>
      </c>
      <c r="D4" s="1"/>
    </row>
    <row r="5" spans="1:4">
      <c r="A5" t="s">
        <v>202</v>
      </c>
      <c r="B5" t="s">
        <v>203</v>
      </c>
      <c r="C5" t="str">
        <f t="shared" si="0"/>
        <v>Bangladesh - Dhaka (North &amp; South)</v>
      </c>
      <c r="D5" s="1"/>
    </row>
    <row r="6" spans="1:4">
      <c r="A6" t="s">
        <v>161</v>
      </c>
      <c r="B6" t="s">
        <v>162</v>
      </c>
      <c r="C6" t="str">
        <f t="shared" si="0"/>
        <v>Brazil - Curitiba</v>
      </c>
      <c r="D6" s="1"/>
    </row>
    <row r="7" spans="1:4">
      <c r="A7" t="s">
        <v>163</v>
      </c>
      <c r="B7" t="s">
        <v>162</v>
      </c>
      <c r="C7" t="str">
        <f t="shared" si="0"/>
        <v>Brazil - Fortaleza</v>
      </c>
      <c r="D7" s="1"/>
    </row>
    <row r="8" spans="1:4">
      <c r="A8" t="s">
        <v>172</v>
      </c>
      <c r="B8" t="s">
        <v>162</v>
      </c>
      <c r="C8" t="str">
        <f t="shared" si="0"/>
        <v>Brazil - Rio de Janeiro</v>
      </c>
      <c r="D8" s="1"/>
    </row>
    <row r="9" spans="1:4">
      <c r="A9" t="s">
        <v>173</v>
      </c>
      <c r="B9" t="s">
        <v>162</v>
      </c>
      <c r="C9" t="str">
        <f t="shared" si="0"/>
        <v>Brazil - Salvador</v>
      </c>
      <c r="D9" s="1"/>
    </row>
    <row r="10" spans="1:4">
      <c r="A10" t="s">
        <v>176</v>
      </c>
      <c r="B10" t="s">
        <v>162</v>
      </c>
      <c r="C10" t="str">
        <f t="shared" si="0"/>
        <v>Brazil - São Paulo</v>
      </c>
      <c r="D10" s="1"/>
    </row>
    <row r="11" spans="1:4">
      <c r="A11" t="s">
        <v>184</v>
      </c>
      <c r="B11" t="s">
        <v>185</v>
      </c>
      <c r="C11" t="str">
        <f t="shared" si="0"/>
        <v>Canada - Montréal</v>
      </c>
      <c r="D11" s="1"/>
    </row>
    <row r="12" spans="1:4">
      <c r="A12" t="s">
        <v>193</v>
      </c>
      <c r="B12" t="s">
        <v>185</v>
      </c>
      <c r="C12" t="str">
        <f t="shared" si="0"/>
        <v>Canada - Toronto</v>
      </c>
      <c r="D12" s="1"/>
    </row>
    <row r="13" spans="1:4">
      <c r="A13" t="s">
        <v>194</v>
      </c>
      <c r="B13" t="s">
        <v>185</v>
      </c>
      <c r="C13" t="str">
        <f t="shared" si="0"/>
        <v>Canada - Vancouver</v>
      </c>
      <c r="D13" s="1"/>
    </row>
    <row r="14" spans="1:4">
      <c r="A14" t="s">
        <v>174</v>
      </c>
      <c r="B14" t="s">
        <v>175</v>
      </c>
      <c r="C14" t="str">
        <f t="shared" si="0"/>
        <v>Chile - Santiago</v>
      </c>
      <c r="D14" s="1"/>
    </row>
    <row r="15" spans="1:4">
      <c r="A15" t="s">
        <v>89</v>
      </c>
      <c r="B15" t="s">
        <v>90</v>
      </c>
      <c r="C15" t="str">
        <f t="shared" si="0"/>
        <v>China - Beijing</v>
      </c>
      <c r="D15" s="1"/>
    </row>
    <row r="16" spans="1:4">
      <c r="A16" t="s">
        <v>91</v>
      </c>
      <c r="B16" t="s">
        <v>90</v>
      </c>
      <c r="C16" t="str">
        <f t="shared" si="0"/>
        <v>China - Chengdu</v>
      </c>
      <c r="D16" s="1"/>
    </row>
    <row r="17" spans="1:4">
      <c r="A17" t="s">
        <v>92</v>
      </c>
      <c r="B17" t="s">
        <v>90</v>
      </c>
      <c r="C17" t="str">
        <f t="shared" si="0"/>
        <v>China - Dalian</v>
      </c>
      <c r="D17" s="1"/>
    </row>
    <row r="18" spans="1:4">
      <c r="A18" t="s">
        <v>93</v>
      </c>
      <c r="B18" t="s">
        <v>90</v>
      </c>
      <c r="C18" t="str">
        <f t="shared" si="0"/>
        <v>China - Fuzhou</v>
      </c>
      <c r="D18" s="1"/>
    </row>
    <row r="19" spans="1:4">
      <c r="A19" t="s">
        <v>94</v>
      </c>
      <c r="B19" t="s">
        <v>90</v>
      </c>
      <c r="C19" t="str">
        <f t="shared" si="0"/>
        <v>China - Guangzhou</v>
      </c>
      <c r="D19" s="1"/>
    </row>
    <row r="20" spans="1:4">
      <c r="A20" t="s">
        <v>95</v>
      </c>
      <c r="B20" t="s">
        <v>90</v>
      </c>
      <c r="C20" t="str">
        <f t="shared" si="0"/>
        <v>China - Hangzhou</v>
      </c>
      <c r="D20" s="1"/>
    </row>
    <row r="21" spans="1:4">
      <c r="A21" t="s">
        <v>96</v>
      </c>
      <c r="B21" t="s">
        <v>90</v>
      </c>
      <c r="C21" t="str">
        <f t="shared" si="0"/>
        <v>China - Hong Kong</v>
      </c>
      <c r="D21" s="1"/>
    </row>
    <row r="22" spans="1:4">
      <c r="A22" t="s">
        <v>97</v>
      </c>
      <c r="B22" t="s">
        <v>90</v>
      </c>
      <c r="C22" t="str">
        <f t="shared" si="0"/>
        <v>China - Nanjing</v>
      </c>
      <c r="D22" s="1"/>
    </row>
    <row r="23" spans="1:4">
      <c r="A23" t="s">
        <v>98</v>
      </c>
      <c r="B23" t="s">
        <v>90</v>
      </c>
      <c r="C23" t="str">
        <f t="shared" si="0"/>
        <v>China - Qingdao</v>
      </c>
      <c r="D23" s="1"/>
    </row>
    <row r="24" spans="1:4">
      <c r="A24" t="s">
        <v>99</v>
      </c>
      <c r="B24" t="s">
        <v>90</v>
      </c>
      <c r="C24" t="str">
        <f t="shared" si="0"/>
        <v>China - Shanghai</v>
      </c>
      <c r="D24" s="1"/>
    </row>
    <row r="25" spans="1:4">
      <c r="A25" t="s">
        <v>100</v>
      </c>
      <c r="B25" t="s">
        <v>90</v>
      </c>
      <c r="C25" t="str">
        <f t="shared" si="0"/>
        <v>China - Shenzhen</v>
      </c>
      <c r="D25" s="1"/>
    </row>
    <row r="26" spans="1:4">
      <c r="A26" t="s">
        <v>101</v>
      </c>
      <c r="B26" t="s">
        <v>90</v>
      </c>
      <c r="C26" t="str">
        <f t="shared" si="0"/>
        <v>China - Wuhan</v>
      </c>
      <c r="D26" s="1"/>
    </row>
    <row r="27" spans="1:4">
      <c r="A27" t="s">
        <v>102</v>
      </c>
      <c r="B27" t="s">
        <v>90</v>
      </c>
      <c r="C27" t="str">
        <f t="shared" si="0"/>
        <v>China - Zhenjiang</v>
      </c>
      <c r="D27" s="1"/>
    </row>
    <row r="28" spans="1:4">
      <c r="A28" t="s">
        <v>157</v>
      </c>
      <c r="B28" t="s">
        <v>158</v>
      </c>
      <c r="C28" t="str">
        <f t="shared" si="0"/>
        <v>Colombia - Bogotá</v>
      </c>
      <c r="D28" s="1"/>
    </row>
    <row r="29" spans="1:4">
      <c r="A29" t="s">
        <v>168</v>
      </c>
      <c r="B29" t="s">
        <v>158</v>
      </c>
      <c r="C29" t="str">
        <f t="shared" si="0"/>
        <v>Colombia - Medellín</v>
      </c>
      <c r="D29" s="1"/>
    </row>
    <row r="30" spans="1:4">
      <c r="A30" t="s">
        <v>65</v>
      </c>
      <c r="B30" t="s">
        <v>66</v>
      </c>
      <c r="C30" t="str">
        <f t="shared" si="0"/>
        <v>Côte d’Ivoire - Abidjan</v>
      </c>
      <c r="D30" s="1"/>
    </row>
    <row r="31" spans="1:4">
      <c r="A31" t="s">
        <v>133</v>
      </c>
      <c r="B31" t="s">
        <v>134</v>
      </c>
      <c r="C31" t="str">
        <f t="shared" si="0"/>
        <v>Denmark - Copenhagen</v>
      </c>
      <c r="D31" s="1"/>
    </row>
    <row r="32" spans="1:4">
      <c r="A32" t="s">
        <v>170</v>
      </c>
      <c r="B32" t="s">
        <v>171</v>
      </c>
      <c r="C32" t="str">
        <f t="shared" si="0"/>
        <v>Ecuador - Quito</v>
      </c>
      <c r="D32" s="1"/>
    </row>
    <row r="33" spans="1:4">
      <c r="A33" t="s">
        <v>69</v>
      </c>
      <c r="B33" t="s">
        <v>70</v>
      </c>
      <c r="C33" t="str">
        <f t="shared" si="0"/>
        <v>Ethiopia - Addis Ababa</v>
      </c>
      <c r="D33" s="1"/>
    </row>
    <row r="34" spans="1:4">
      <c r="A34" t="s">
        <v>147</v>
      </c>
      <c r="B34" t="s">
        <v>148</v>
      </c>
      <c r="C34" t="str">
        <f t="shared" si="0"/>
        <v>France - Paris</v>
      </c>
      <c r="D34" s="1"/>
    </row>
    <row r="35" spans="1:4">
      <c r="A35" t="s">
        <v>131</v>
      </c>
      <c r="B35" t="s">
        <v>132</v>
      </c>
      <c r="C35" t="str">
        <f t="shared" si="0"/>
        <v>Germany - Berlin</v>
      </c>
      <c r="D35" s="1"/>
    </row>
    <row r="36" spans="1:4">
      <c r="A36" t="s">
        <v>135</v>
      </c>
      <c r="B36" t="s">
        <v>132</v>
      </c>
      <c r="C36" t="str">
        <f t="shared" si="0"/>
        <v>Germany - Heidelberg</v>
      </c>
      <c r="D36" s="1"/>
    </row>
    <row r="37" spans="1:4">
      <c r="A37" t="s">
        <v>67</v>
      </c>
      <c r="B37" t="s">
        <v>68</v>
      </c>
      <c r="C37" t="str">
        <f t="shared" si="0"/>
        <v>Ghana - Accra</v>
      </c>
      <c r="D37" s="1"/>
    </row>
    <row r="38" spans="1:4">
      <c r="A38" t="s">
        <v>127</v>
      </c>
      <c r="B38" t="s">
        <v>128</v>
      </c>
      <c r="C38" t="str">
        <f t="shared" si="0"/>
        <v>Greece - Athens</v>
      </c>
      <c r="D38" s="1"/>
    </row>
    <row r="39" spans="1:4">
      <c r="A39" t="s">
        <v>195</v>
      </c>
      <c r="B39" t="s">
        <v>196</v>
      </c>
      <c r="C39" t="str">
        <f t="shared" si="0"/>
        <v>India - Ahmedabad</v>
      </c>
      <c r="D39" s="1"/>
    </row>
    <row r="40" spans="1:4">
      <c r="A40" t="s">
        <v>199</v>
      </c>
      <c r="B40" t="s">
        <v>196</v>
      </c>
      <c r="C40" t="str">
        <f t="shared" si="0"/>
        <v>India - Bengaluru</v>
      </c>
      <c r="D40" s="1"/>
    </row>
    <row r="41" spans="1:4">
      <c r="A41" t="s">
        <v>200</v>
      </c>
      <c r="B41" t="s">
        <v>196</v>
      </c>
      <c r="C41" t="str">
        <f t="shared" si="0"/>
        <v>India - Chennai</v>
      </c>
      <c r="D41" s="1"/>
    </row>
    <row r="42" spans="1:4">
      <c r="A42" t="s">
        <v>201</v>
      </c>
      <c r="B42" t="s">
        <v>196</v>
      </c>
      <c r="C42" t="str">
        <f t="shared" si="0"/>
        <v>India - Delhi NCT</v>
      </c>
      <c r="D42" s="1"/>
    </row>
    <row r="43" spans="1:4">
      <c r="A43" t="s">
        <v>208</v>
      </c>
      <c r="B43" t="s">
        <v>196</v>
      </c>
      <c r="C43" t="str">
        <f t="shared" si="0"/>
        <v>India - Mumbai</v>
      </c>
      <c r="D43" s="1"/>
    </row>
    <row r="44" spans="1:4">
      <c r="A44" t="s">
        <v>110</v>
      </c>
      <c r="B44" t="s">
        <v>111</v>
      </c>
      <c r="C44" t="str">
        <f t="shared" si="0"/>
        <v>Indonesia - Jakarta</v>
      </c>
      <c r="D44" s="1"/>
    </row>
    <row r="45" spans="1:4">
      <c r="A45" t="s">
        <v>153</v>
      </c>
      <c r="B45" t="s">
        <v>154</v>
      </c>
      <c r="C45" t="str">
        <f t="shared" si="0"/>
        <v>Israel - Tel Aviv - Yafo</v>
      </c>
      <c r="D45" s="1"/>
    </row>
    <row r="46" spans="1:4">
      <c r="A46" t="s">
        <v>143</v>
      </c>
      <c r="B46" t="s">
        <v>144</v>
      </c>
      <c r="C46" t="str">
        <f t="shared" si="0"/>
        <v>Italy - Milan</v>
      </c>
      <c r="D46" s="1"/>
    </row>
    <row r="47" spans="1:4">
      <c r="A47" t="s">
        <v>149</v>
      </c>
      <c r="B47" t="s">
        <v>144</v>
      </c>
      <c r="C47" t="str">
        <f t="shared" si="0"/>
        <v>Italy - Rome</v>
      </c>
      <c r="D47" s="1"/>
    </row>
    <row r="48" spans="1:4">
      <c r="A48" t="s">
        <v>122</v>
      </c>
      <c r="B48" t="s">
        <v>123</v>
      </c>
      <c r="C48" t="str">
        <f t="shared" si="0"/>
        <v>Japan - Tokyo</v>
      </c>
      <c r="D48" s="1"/>
    </row>
    <row r="49" spans="1:4">
      <c r="A49" t="s">
        <v>124</v>
      </c>
      <c r="B49" t="s">
        <v>123</v>
      </c>
      <c r="C49" t="str">
        <f t="shared" si="0"/>
        <v>Japan - Yokohama</v>
      </c>
      <c r="D49" s="1"/>
    </row>
    <row r="50" spans="1:4">
      <c r="A50" t="s">
        <v>197</v>
      </c>
      <c r="B50" t="s">
        <v>198</v>
      </c>
      <c r="C50" t="str">
        <f t="shared" si="0"/>
        <v>Jordan - Amman</v>
      </c>
      <c r="D50" s="1"/>
    </row>
    <row r="51" spans="1:4">
      <c r="A51" t="s">
        <v>86</v>
      </c>
      <c r="B51" t="s">
        <v>87</v>
      </c>
      <c r="C51" t="str">
        <f t="shared" si="0"/>
        <v>Kenya - Nairobi</v>
      </c>
      <c r="D51" s="1"/>
    </row>
    <row r="52" spans="1:4">
      <c r="A52" t="s">
        <v>112</v>
      </c>
      <c r="B52" t="s">
        <v>113</v>
      </c>
      <c r="C52" t="str">
        <f t="shared" si="0"/>
        <v>Malaysia - Kuala Lumpur</v>
      </c>
      <c r="D52" s="1"/>
    </row>
    <row r="53" spans="1:4">
      <c r="A53" t="s">
        <v>164</v>
      </c>
      <c r="B53" t="s">
        <v>165</v>
      </c>
      <c r="C53" t="str">
        <f t="shared" si="0"/>
        <v>Mexico - Guadalajara</v>
      </c>
      <c r="D53" s="1"/>
    </row>
    <row r="54" spans="1:4">
      <c r="A54" t="s">
        <v>169</v>
      </c>
      <c r="B54" t="s">
        <v>165</v>
      </c>
      <c r="C54" t="str">
        <f t="shared" si="0"/>
        <v>Mexico - Mexico City</v>
      </c>
      <c r="D54" s="1"/>
    </row>
    <row r="55" spans="1:4">
      <c r="A55" t="s">
        <v>73</v>
      </c>
      <c r="B55" t="s">
        <v>74</v>
      </c>
      <c r="C55" t="str">
        <f t="shared" si="0"/>
        <v>Morocco - Casablanca</v>
      </c>
      <c r="D55" s="1"/>
    </row>
    <row r="56" spans="1:4">
      <c r="A56" t="s">
        <v>103</v>
      </c>
      <c r="B56" t="s">
        <v>104</v>
      </c>
      <c r="C56" t="str">
        <f t="shared" si="0"/>
        <v>New Zealand - Auckland</v>
      </c>
      <c r="D56" s="1"/>
    </row>
    <row r="57" spans="1:4">
      <c r="A57" t="s">
        <v>84</v>
      </c>
      <c r="B57" t="s">
        <v>85</v>
      </c>
      <c r="C57" t="str">
        <f t="shared" si="0"/>
        <v>Nigeria - Lagos</v>
      </c>
      <c r="D57" s="1"/>
    </row>
    <row r="58" spans="1:4">
      <c r="A58" t="s">
        <v>145</v>
      </c>
      <c r="B58" t="s">
        <v>146</v>
      </c>
      <c r="C58" t="str">
        <f t="shared" si="0"/>
        <v>Norway - Oslo</v>
      </c>
      <c r="D58" s="1"/>
    </row>
    <row r="59" spans="1:4">
      <c r="A59" t="s">
        <v>206</v>
      </c>
      <c r="B59" t="s">
        <v>207</v>
      </c>
      <c r="C59" t="str">
        <f t="shared" si="0"/>
        <v>Pakistan - Karachi</v>
      </c>
      <c r="D59" s="1"/>
    </row>
    <row r="60" spans="1:4">
      <c r="A60" t="s">
        <v>166</v>
      </c>
      <c r="B60" t="s">
        <v>167</v>
      </c>
      <c r="C60" t="str">
        <f t="shared" si="0"/>
        <v>Peru - Lima</v>
      </c>
      <c r="D60" s="1"/>
    </row>
    <row r="61" spans="1:4">
      <c r="A61" t="s">
        <v>155</v>
      </c>
      <c r="B61" t="s">
        <v>156</v>
      </c>
      <c r="C61" t="str">
        <f t="shared" si="0"/>
        <v>Poland - Warsaw</v>
      </c>
      <c r="D61" s="1"/>
    </row>
    <row r="62" spans="1:4">
      <c r="A62" t="s">
        <v>138</v>
      </c>
      <c r="B62" t="s">
        <v>139</v>
      </c>
      <c r="C62" t="str">
        <f t="shared" si="0"/>
        <v>Portugal - Lisbon</v>
      </c>
      <c r="D62" s="1"/>
    </row>
    <row r="63" spans="1:4">
      <c r="A63" t="s">
        <v>118</v>
      </c>
      <c r="B63" t="s">
        <v>119</v>
      </c>
      <c r="C63" t="str">
        <f t="shared" si="0"/>
        <v>Republic of Korea - Seoul</v>
      </c>
      <c r="D63" s="1"/>
    </row>
    <row r="64" spans="1:4">
      <c r="A64" t="s">
        <v>75</v>
      </c>
      <c r="B64" t="s">
        <v>76</v>
      </c>
      <c r="C64" t="str">
        <f t="shared" si="0"/>
        <v>Senegal - Dakar</v>
      </c>
      <c r="D64" s="1"/>
    </row>
    <row r="65" spans="1:4">
      <c r="A65" t="s">
        <v>81</v>
      </c>
      <c r="B65" t="s">
        <v>82</v>
      </c>
      <c r="C65" t="str">
        <f t="shared" si="0"/>
        <v>Sierra Leone - Freetown</v>
      </c>
      <c r="D65" s="1"/>
    </row>
    <row r="66" spans="1:4">
      <c r="A66" t="s">
        <v>120</v>
      </c>
      <c r="B66" t="s">
        <v>120</v>
      </c>
      <c r="C66" t="str">
        <f t="shared" si="0"/>
        <v>Singapore - Singapore</v>
      </c>
      <c r="D66" s="1"/>
    </row>
    <row r="67" spans="1:4">
      <c r="A67" t="s">
        <v>71</v>
      </c>
      <c r="B67" t="s">
        <v>72</v>
      </c>
      <c r="C67" t="str">
        <f t="shared" ref="C67:C98" si="1">B67&amp;" - "&amp;A67</f>
        <v>South Africa - Cape Town</v>
      </c>
      <c r="D67" s="1"/>
    </row>
    <row r="68" spans="1:4">
      <c r="A68" t="s">
        <v>79</v>
      </c>
      <c r="B68" t="s">
        <v>72</v>
      </c>
      <c r="C68" t="str">
        <f t="shared" si="1"/>
        <v>South Africa - Durban (eThekwini)</v>
      </c>
      <c r="D68" s="1"/>
    </row>
    <row r="69" spans="1:4">
      <c r="A69" t="s">
        <v>80</v>
      </c>
      <c r="B69" t="s">
        <v>72</v>
      </c>
      <c r="C69" t="str">
        <f t="shared" si="1"/>
        <v>South Africa - Ekurhuleni</v>
      </c>
      <c r="D69" s="1"/>
    </row>
    <row r="70" spans="1:4">
      <c r="A70" t="s">
        <v>83</v>
      </c>
      <c r="B70" t="s">
        <v>72</v>
      </c>
      <c r="C70" t="str">
        <f t="shared" si="1"/>
        <v>South Africa - Johannesburg</v>
      </c>
      <c r="D70" s="1"/>
    </row>
    <row r="71" spans="1:4">
      <c r="A71" t="s">
        <v>88</v>
      </c>
      <c r="B71" t="s">
        <v>72</v>
      </c>
      <c r="C71" t="str">
        <f t="shared" si="1"/>
        <v>South Africa - Tshwane</v>
      </c>
      <c r="D71" s="1"/>
    </row>
    <row r="72" spans="1:4">
      <c r="A72" t="s">
        <v>129</v>
      </c>
      <c r="B72" t="s">
        <v>130</v>
      </c>
      <c r="C72" t="str">
        <f t="shared" si="1"/>
        <v>Spain - Barcelona</v>
      </c>
      <c r="D72" s="1"/>
    </row>
    <row r="73" spans="1:4">
      <c r="A73" t="s">
        <v>142</v>
      </c>
      <c r="B73" t="s">
        <v>130</v>
      </c>
      <c r="C73" t="str">
        <f t="shared" si="1"/>
        <v>Spain - Madrid</v>
      </c>
      <c r="D73" s="1"/>
    </row>
    <row r="74" spans="1:4">
      <c r="A74" t="s">
        <v>151</v>
      </c>
      <c r="B74" t="s">
        <v>152</v>
      </c>
      <c r="C74" t="str">
        <f t="shared" si="1"/>
        <v>Sweden - Stockholm</v>
      </c>
      <c r="D74" s="1"/>
    </row>
    <row r="75" spans="1:4">
      <c r="A75" t="s">
        <v>77</v>
      </c>
      <c r="B75" t="s">
        <v>78</v>
      </c>
      <c r="C75" t="str">
        <f t="shared" si="1"/>
        <v>Tanzania - Dar es Salaam</v>
      </c>
      <c r="D75" s="1"/>
    </row>
    <row r="76" spans="1:4">
      <c r="A76" t="s">
        <v>105</v>
      </c>
      <c r="B76" t="s">
        <v>106</v>
      </c>
      <c r="C76" t="str">
        <f t="shared" si="1"/>
        <v>Thailand - Bangkok</v>
      </c>
      <c r="D76" s="1"/>
    </row>
    <row r="77" spans="1:4">
      <c r="A77" t="s">
        <v>125</v>
      </c>
      <c r="B77" t="s">
        <v>126</v>
      </c>
      <c r="C77" t="str">
        <f t="shared" si="1"/>
        <v>The Netherlands - Amsterdam</v>
      </c>
      <c r="D77" s="1"/>
    </row>
    <row r="78" spans="1:4">
      <c r="A78" t="s">
        <v>150</v>
      </c>
      <c r="B78" t="s">
        <v>126</v>
      </c>
      <c r="C78" t="str">
        <f t="shared" si="1"/>
        <v>The Netherlands - Rotterdam</v>
      </c>
      <c r="D78" s="1"/>
    </row>
    <row r="79" spans="1:4">
      <c r="A79" t="s">
        <v>116</v>
      </c>
      <c r="B79" t="s">
        <v>117</v>
      </c>
      <c r="C79" t="str">
        <f t="shared" si="1"/>
        <v>The Philippines - Quezon City</v>
      </c>
      <c r="D79" s="1"/>
    </row>
    <row r="80" spans="1:4">
      <c r="A80" t="s">
        <v>136</v>
      </c>
      <c r="B80" t="s">
        <v>137</v>
      </c>
      <c r="C80" t="str">
        <f t="shared" si="1"/>
        <v>Turkey - Istanbul</v>
      </c>
      <c r="D80" s="1"/>
    </row>
    <row r="81" spans="1:4">
      <c r="A81" t="s">
        <v>204</v>
      </c>
      <c r="B81" t="s">
        <v>205</v>
      </c>
      <c r="C81" t="str">
        <f t="shared" si="1"/>
        <v>United Arab Emirates - Dubai</v>
      </c>
      <c r="D81" s="1"/>
    </row>
    <row r="82" spans="1:4">
      <c r="A82" t="s">
        <v>140</v>
      </c>
      <c r="B82" t="s">
        <v>141</v>
      </c>
      <c r="C82" t="str">
        <f t="shared" si="1"/>
        <v>United Kingdom - London</v>
      </c>
      <c r="D82" s="1"/>
    </row>
    <row r="83" spans="1:4">
      <c r="A83" t="s">
        <v>177</v>
      </c>
      <c r="B83" t="s">
        <v>178</v>
      </c>
      <c r="C83" t="str">
        <f t="shared" si="1"/>
        <v>United States - Austin</v>
      </c>
      <c r="D83" s="1"/>
    </row>
    <row r="84" spans="1:4">
      <c r="A84" t="s">
        <v>179</v>
      </c>
      <c r="B84" t="s">
        <v>178</v>
      </c>
      <c r="C84" t="str">
        <f t="shared" si="1"/>
        <v>United States - Boston</v>
      </c>
      <c r="D84" s="1"/>
    </row>
    <row r="85" spans="1:4">
      <c r="A85" t="s">
        <v>180</v>
      </c>
      <c r="B85" t="s">
        <v>178</v>
      </c>
      <c r="C85" t="str">
        <f t="shared" si="1"/>
        <v>United States - Chicago</v>
      </c>
      <c r="D85" s="1"/>
    </row>
    <row r="86" spans="1:4">
      <c r="A86" t="s">
        <v>181</v>
      </c>
      <c r="B86" t="s">
        <v>178</v>
      </c>
      <c r="C86" t="str">
        <f t="shared" si="1"/>
        <v>United States - Houston</v>
      </c>
      <c r="D86" s="1"/>
    </row>
    <row r="87" spans="1:4">
      <c r="A87" t="s">
        <v>182</v>
      </c>
      <c r="B87" t="s">
        <v>178</v>
      </c>
      <c r="C87" t="str">
        <f t="shared" si="1"/>
        <v>United States - Los Angeles</v>
      </c>
      <c r="D87" s="1"/>
    </row>
    <row r="88" spans="1:4">
      <c r="A88" t="s">
        <v>183</v>
      </c>
      <c r="B88" t="s">
        <v>178</v>
      </c>
      <c r="C88" t="str">
        <f t="shared" si="1"/>
        <v>United States - Miami</v>
      </c>
      <c r="D88" s="1"/>
    </row>
    <row r="89" spans="1:4">
      <c r="A89" t="s">
        <v>186</v>
      </c>
      <c r="B89" t="s">
        <v>178</v>
      </c>
      <c r="C89" t="str">
        <f t="shared" si="1"/>
        <v>United States - New Orleans</v>
      </c>
      <c r="D89" s="1"/>
    </row>
    <row r="90" spans="1:4">
      <c r="A90" t="s">
        <v>187</v>
      </c>
      <c r="B90" t="s">
        <v>178</v>
      </c>
      <c r="C90" t="str">
        <f t="shared" si="1"/>
        <v>United States - New York City</v>
      </c>
      <c r="D90" s="1"/>
    </row>
    <row r="91" spans="1:4">
      <c r="A91" t="s">
        <v>188</v>
      </c>
      <c r="B91" t="s">
        <v>178</v>
      </c>
      <c r="C91" t="str">
        <f t="shared" si="1"/>
        <v>United States - Philadelphia</v>
      </c>
      <c r="D91" s="1"/>
    </row>
    <row r="92" spans="1:4">
      <c r="A92" t="s">
        <v>189</v>
      </c>
      <c r="B92" t="s">
        <v>178</v>
      </c>
      <c r="C92" t="str">
        <f t="shared" si="1"/>
        <v>United States - Phoenix</v>
      </c>
      <c r="D92" s="1"/>
    </row>
    <row r="93" spans="1:4">
      <c r="A93" t="s">
        <v>190</v>
      </c>
      <c r="B93" t="s">
        <v>178</v>
      </c>
      <c r="C93" t="str">
        <f t="shared" si="1"/>
        <v>United States - Portland</v>
      </c>
      <c r="D93" s="1"/>
    </row>
    <row r="94" spans="1:4">
      <c r="A94" t="s">
        <v>191</v>
      </c>
      <c r="B94" t="s">
        <v>178</v>
      </c>
      <c r="C94" t="str">
        <f t="shared" si="1"/>
        <v>United States - San Francisco</v>
      </c>
      <c r="D94" s="1"/>
    </row>
    <row r="95" spans="1:4">
      <c r="A95" t="s">
        <v>192</v>
      </c>
      <c r="B95" t="s">
        <v>178</v>
      </c>
      <c r="C95" t="str">
        <f t="shared" si="1"/>
        <v>United States - Seattle</v>
      </c>
      <c r="D95" s="1"/>
    </row>
    <row r="96" spans="1:4">
      <c r="A96" t="s">
        <v>209</v>
      </c>
      <c r="B96" t="s">
        <v>178</v>
      </c>
      <c r="C96" t="str">
        <f t="shared" si="1"/>
        <v>United States - Washington DC</v>
      </c>
      <c r="D96" s="1"/>
    </row>
    <row r="97" spans="1:4">
      <c r="A97" t="s">
        <v>107</v>
      </c>
      <c r="B97" t="s">
        <v>108</v>
      </c>
      <c r="C97" t="str">
        <f t="shared" si="1"/>
        <v>Vietnam - Hanoi</v>
      </c>
      <c r="D97" s="1"/>
    </row>
    <row r="98" spans="1:4">
      <c r="A98" t="s">
        <v>109</v>
      </c>
      <c r="B98" t="s">
        <v>108</v>
      </c>
      <c r="C98" t="str">
        <f t="shared" si="1"/>
        <v>Vietnam - Ho Chi Minh City</v>
      </c>
      <c r="D98" s="1"/>
    </row>
    <row r="99" spans="1:4">
      <c r="C99" t="s">
        <v>212</v>
      </c>
    </row>
  </sheetData>
  <sheetProtection sheet="1" objects="1" scenarios="1"/>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49990-23B0-174B-AAE6-20032EAAC9E8}">
  <dimension ref="A1:C14"/>
  <sheetViews>
    <sheetView workbookViewId="0">
      <selection activeCell="A14" sqref="A14"/>
    </sheetView>
  </sheetViews>
  <sheetFormatPr baseColWidth="10" defaultRowHeight="16"/>
  <cols>
    <col min="1" max="1" width="11.33203125" bestFit="1" customWidth="1"/>
    <col min="2" max="2" width="43.83203125" bestFit="1" customWidth="1"/>
    <col min="3" max="3" width="11.83203125" bestFit="1" customWidth="1"/>
  </cols>
  <sheetData>
    <row r="1" spans="1:3">
      <c r="A1" t="s">
        <v>49</v>
      </c>
      <c r="B1" t="s">
        <v>50</v>
      </c>
      <c r="C1" t="s">
        <v>48</v>
      </c>
    </row>
    <row r="2" spans="1:3">
      <c r="A2" t="s">
        <v>15</v>
      </c>
      <c r="B2" t="s">
        <v>5</v>
      </c>
      <c r="C2" t="s">
        <v>14</v>
      </c>
    </row>
    <row r="3" spans="1:3">
      <c r="A3" t="s">
        <v>16</v>
      </c>
      <c r="B3" t="s">
        <v>6</v>
      </c>
      <c r="C3" t="s">
        <v>14</v>
      </c>
    </row>
    <row r="4" spans="1:3">
      <c r="A4" t="s">
        <v>17</v>
      </c>
      <c r="B4" t="s">
        <v>7</v>
      </c>
      <c r="C4" t="s">
        <v>14</v>
      </c>
    </row>
    <row r="5" spans="1:3">
      <c r="A5" t="s">
        <v>18</v>
      </c>
      <c r="B5" t="s">
        <v>53</v>
      </c>
      <c r="C5" t="s">
        <v>14</v>
      </c>
    </row>
    <row r="6" spans="1:3">
      <c r="A6" t="s">
        <v>19</v>
      </c>
      <c r="B6" t="s">
        <v>8</v>
      </c>
      <c r="C6" t="s">
        <v>14</v>
      </c>
    </row>
    <row r="7" spans="1:3">
      <c r="A7" t="s">
        <v>20</v>
      </c>
      <c r="B7" t="s">
        <v>9</v>
      </c>
      <c r="C7" t="s">
        <v>14</v>
      </c>
    </row>
    <row r="8" spans="1:3">
      <c r="A8" t="s">
        <v>23</v>
      </c>
      <c r="B8" t="s">
        <v>32</v>
      </c>
      <c r="C8" t="s">
        <v>51</v>
      </c>
    </row>
    <row r="9" spans="1:3">
      <c r="A9" t="s">
        <v>24</v>
      </c>
      <c r="B9" t="s">
        <v>33</v>
      </c>
      <c r="C9" t="s">
        <v>51</v>
      </c>
    </row>
    <row r="10" spans="1:3">
      <c r="A10" t="s">
        <v>25</v>
      </c>
      <c r="B10" t="s">
        <v>34</v>
      </c>
      <c r="C10" t="s">
        <v>51</v>
      </c>
    </row>
    <row r="11" spans="1:3">
      <c r="A11" t="s">
        <v>26</v>
      </c>
      <c r="B11" t="s">
        <v>35</v>
      </c>
      <c r="C11" t="s">
        <v>51</v>
      </c>
    </row>
    <row r="12" spans="1:3">
      <c r="A12" t="s">
        <v>28</v>
      </c>
      <c r="B12" t="s">
        <v>36</v>
      </c>
      <c r="C12" t="s">
        <v>52</v>
      </c>
    </row>
    <row r="13" spans="1:3">
      <c r="A13" t="s">
        <v>29</v>
      </c>
      <c r="B13" t="s">
        <v>37</v>
      </c>
      <c r="C13" t="s">
        <v>52</v>
      </c>
    </row>
    <row r="14" spans="1:3">
      <c r="A14" t="s">
        <v>30</v>
      </c>
      <c r="B14" t="s">
        <v>38</v>
      </c>
      <c r="C14" t="s">
        <v>52</v>
      </c>
    </row>
  </sheetData>
  <sheetProtection sheet="1" objects="1" scenarios="1"/>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289D8-E3BE-5A4B-A2A6-B54439AD44A5}">
  <dimension ref="A1:K62"/>
  <sheetViews>
    <sheetView topLeftCell="A37" zoomScaleNormal="100" workbookViewId="0">
      <selection activeCell="C3" sqref="C3"/>
    </sheetView>
  </sheetViews>
  <sheetFormatPr baseColWidth="10" defaultColWidth="0" defaultRowHeight="15" zeroHeight="1"/>
  <cols>
    <col min="1" max="1" width="2.5" style="74" customWidth="1"/>
    <col min="2" max="3" width="20.83203125" style="77" customWidth="1"/>
    <col min="4" max="4" width="23.33203125" style="77" customWidth="1"/>
    <col min="5" max="5" width="20.83203125" style="77" customWidth="1"/>
    <col min="6" max="6" width="2.5" style="74" customWidth="1"/>
    <col min="7" max="11" width="0" style="77" hidden="1" customWidth="1"/>
    <col min="12" max="16384" width="10.83203125" style="77" hidden="1"/>
  </cols>
  <sheetData>
    <row r="1" spans="1:10" s="73" customFormat="1">
      <c r="A1" s="72" t="s">
        <v>0</v>
      </c>
      <c r="F1" s="72" t="s">
        <v>0</v>
      </c>
    </row>
    <row r="2" spans="1:10" s="73" customFormat="1" ht="55" customHeight="1">
      <c r="A2" s="72"/>
      <c r="B2" s="169" t="s">
        <v>256</v>
      </c>
      <c r="C2" s="169"/>
      <c r="D2" s="169"/>
      <c r="E2" s="169"/>
      <c r="F2" s="72"/>
    </row>
    <row r="3" spans="1:10" s="73" customFormat="1">
      <c r="A3" s="72"/>
      <c r="F3" s="72"/>
    </row>
    <row r="4" spans="1:10" ht="19">
      <c r="B4" s="75" t="s">
        <v>5</v>
      </c>
      <c r="C4" s="76"/>
      <c r="D4" s="76"/>
      <c r="E4" s="76"/>
    </row>
    <row r="5" spans="1:10">
      <c r="B5" s="76"/>
      <c r="C5" s="76"/>
      <c r="D5" s="76"/>
      <c r="E5" s="76"/>
    </row>
    <row r="6" spans="1:10">
      <c r="B6" s="78"/>
      <c r="C6" s="170" t="s">
        <v>31</v>
      </c>
      <c r="D6" s="170"/>
      <c r="E6" s="170"/>
    </row>
    <row r="7" spans="1:10" ht="32">
      <c r="B7" s="79" t="s">
        <v>22</v>
      </c>
      <c r="C7" s="80" t="s">
        <v>36</v>
      </c>
      <c r="D7" s="80" t="s">
        <v>37</v>
      </c>
      <c r="E7" s="80" t="s">
        <v>38</v>
      </c>
    </row>
    <row r="8" spans="1:10" ht="33" customHeight="1">
      <c r="B8" s="81" t="s">
        <v>32</v>
      </c>
      <c r="C8" s="69">
        <f>IFERROR(COUNTIFS('Self-Assessment'!H$29:H$313,1,'Self-Assessment'!N$29:N$313,1,'Self-Assessment'!R$29:R$313,1),"")</f>
        <v>8</v>
      </c>
      <c r="D8" s="69">
        <f>IFERROR(COUNTIFS('Self-Assessment'!H$29:H$313,1,'Self-Assessment'!N$29:N$313,1,'Self-Assessment'!S$29:S$313,1),"")</f>
        <v>4</v>
      </c>
      <c r="E8" s="69">
        <f>IFERROR(COUNTIFS('Self-Assessment'!H$29:H$313,1,'Self-Assessment'!N$29:N$313,1,'Self-Assessment'!T$29:T$313,1),"")</f>
        <v>4</v>
      </c>
    </row>
    <row r="9" spans="1:10" ht="33" customHeight="1">
      <c r="B9" s="82" t="s">
        <v>33</v>
      </c>
      <c r="C9" s="70">
        <f>IFERROR(COUNTIFS('Self-Assessment'!H$29:H$313,1,'Self-Assessment'!O$29:O$313,1,'Self-Assessment'!R$29:R$313,1),"")</f>
        <v>5</v>
      </c>
      <c r="D9" s="70">
        <f>IFERROR(COUNTIFS('Self-Assessment'!H$29:H$313,1,'Self-Assessment'!O$29:O$313,1,'Self-Assessment'!S$29:S$313,1),"")</f>
        <v>2</v>
      </c>
      <c r="E9" s="70">
        <f>IFERROR(COUNTIFS('Self-Assessment'!H$29:H$313,1,'Self-Assessment'!O$29:O$313,1,'Self-Assessment'!T$29:T$313,1),"")</f>
        <v>1</v>
      </c>
    </row>
    <row r="10" spans="1:10" ht="33" customHeight="1">
      <c r="B10" s="82" t="s">
        <v>34</v>
      </c>
      <c r="C10" s="70">
        <f>IFERROR(COUNTIFS('Self-Assessment'!H$29:H$313,1,'Self-Assessment'!P$29:P$313,1,'Self-Assessment'!R$29:R$313,1),"")</f>
        <v>5</v>
      </c>
      <c r="D10" s="70">
        <f>IFERROR(COUNTIFS('Self-Assessment'!H$29:H$313,1,'Self-Assessment'!P$29:P$313,1,'Self-Assessment'!S$29:S$313,1),"")</f>
        <v>5</v>
      </c>
      <c r="E10" s="70">
        <f>IFERROR(COUNTIFS('Self-Assessment'!H$29:H$313,1,'Self-Assessment'!P$29:P$313,1,'Self-Assessment'!T$29:T$313,1),"")</f>
        <v>6</v>
      </c>
    </row>
    <row r="11" spans="1:10" ht="33" customHeight="1" thickBot="1">
      <c r="B11" s="83" t="s">
        <v>35</v>
      </c>
      <c r="C11" s="71">
        <f>IFERROR(COUNTIFS('Self-Assessment'!H$29:H$313,1,'Self-Assessment'!Q$29:Q$313,1,'Self-Assessment'!R$29:R$313,1),"")</f>
        <v>3</v>
      </c>
      <c r="D11" s="71">
        <f>IFERROR(COUNTIFS('Self-Assessment'!H$29:H$313,1,'Self-Assessment'!Q$29:Q$313,1,'Self-Assessment'!S$29:S$313,1),"")</f>
        <v>2</v>
      </c>
      <c r="E11" s="71">
        <f>IFERROR(COUNTIFS('Self-Assessment'!H$29:H$313,1,'Self-Assessment'!Q$29:Q$313,1,'Self-Assessment'!T$29:T$313,1),"")</f>
        <v>7</v>
      </c>
    </row>
    <row r="12" spans="1:10" ht="16" thickTop="1">
      <c r="B12" s="73"/>
      <c r="C12" s="73"/>
      <c r="D12" s="73"/>
      <c r="E12" s="73"/>
    </row>
    <row r="13" spans="1:10" ht="19">
      <c r="B13" s="75" t="s">
        <v>6</v>
      </c>
      <c r="C13" s="76"/>
      <c r="D13" s="76"/>
      <c r="E13" s="76"/>
    </row>
    <row r="14" spans="1:10">
      <c r="B14" s="76"/>
      <c r="C14" s="76"/>
      <c r="D14" s="76"/>
      <c r="E14" s="76"/>
    </row>
    <row r="15" spans="1:10">
      <c r="B15" s="78"/>
      <c r="C15" s="170" t="s">
        <v>31</v>
      </c>
      <c r="D15" s="170"/>
      <c r="E15" s="170"/>
    </row>
    <row r="16" spans="1:10" s="74" customFormat="1" ht="32">
      <c r="B16" s="79" t="s">
        <v>22</v>
      </c>
      <c r="C16" s="80" t="s">
        <v>36</v>
      </c>
      <c r="D16" s="80" t="s">
        <v>37</v>
      </c>
      <c r="E16" s="80" t="s">
        <v>38</v>
      </c>
      <c r="G16" s="77"/>
      <c r="H16" s="77"/>
      <c r="I16" s="77"/>
      <c r="J16" s="77"/>
    </row>
    <row r="17" spans="2:10" s="74" customFormat="1" ht="33" customHeight="1">
      <c r="B17" s="81" t="s">
        <v>32</v>
      </c>
      <c r="C17" s="69">
        <f>IFERROR(COUNTIFS('Self-Assessment'!I$29:I$313,1,'Self-Assessment'!N$29:N$313,1,'Self-Assessment'!R$29:R$313,1),"")</f>
        <v>4</v>
      </c>
      <c r="D17" s="69">
        <f>IFERROR(COUNTIFS('Self-Assessment'!I$29:I$313,1,'Self-Assessment'!N$29:N$313,1,'Self-Assessment'!S$29:S$313,1),"")</f>
        <v>1</v>
      </c>
      <c r="E17" s="69">
        <f>IFERROR(COUNTIFS('Self-Assessment'!I$29:I$313,1,'Self-Assessment'!N$29:N$313,1,'Self-Assessment'!T$29:T$313,1),"")</f>
        <v>3</v>
      </c>
      <c r="G17" s="77"/>
      <c r="H17" s="77"/>
      <c r="I17" s="77"/>
      <c r="J17" s="77"/>
    </row>
    <row r="18" spans="2:10" s="74" customFormat="1" ht="33" customHeight="1">
      <c r="B18" s="82" t="s">
        <v>33</v>
      </c>
      <c r="C18" s="70">
        <f>IFERROR(COUNTIFS('Self-Assessment'!I$29:I$313,1,'Self-Assessment'!O$29:O$313,1,'Self-Assessment'!R$29:R$313,1),"")</f>
        <v>2</v>
      </c>
      <c r="D18" s="70">
        <f>IFERROR(COUNTIFS('Self-Assessment'!I$29:I$313,1,'Self-Assessment'!O$29:O$313,1,'Self-Assessment'!S$29:S$313,1),"")</f>
        <v>1</v>
      </c>
      <c r="E18" s="70">
        <f>IFERROR(COUNTIFS('Self-Assessment'!I$29:I$313,1,'Self-Assessment'!O$29:O$313,1,'Self-Assessment'!T$29:T$313,1),"")</f>
        <v>4</v>
      </c>
      <c r="G18" s="77"/>
      <c r="H18" s="77"/>
      <c r="I18" s="77"/>
      <c r="J18" s="77"/>
    </row>
    <row r="19" spans="2:10" s="74" customFormat="1" ht="33" customHeight="1">
      <c r="B19" s="82" t="s">
        <v>34</v>
      </c>
      <c r="C19" s="70">
        <f>IFERROR(COUNTIFS('Self-Assessment'!I$29:I$313,1,'Self-Assessment'!P$29:P$313,1,'Self-Assessment'!R$29:R$313,1),"")</f>
        <v>6</v>
      </c>
      <c r="D19" s="70">
        <f>IFERROR(COUNTIFS('Self-Assessment'!I$29:I$313,1,'Self-Assessment'!P$29:P$313,1,'Self-Assessment'!S$29:S$313,1),"")</f>
        <v>3</v>
      </c>
      <c r="E19" s="70">
        <f>IFERROR(COUNTIFS('Self-Assessment'!I$29:I$313,1,'Self-Assessment'!P$29:P$313,1,'Self-Assessment'!T$29:T$313,1),"")</f>
        <v>7</v>
      </c>
      <c r="G19" s="77"/>
      <c r="H19" s="77"/>
      <c r="I19" s="77"/>
      <c r="J19" s="77"/>
    </row>
    <row r="20" spans="2:10" s="74" customFormat="1" ht="33" customHeight="1" thickBot="1">
      <c r="B20" s="83" t="s">
        <v>35</v>
      </c>
      <c r="C20" s="71">
        <f>IFERROR(COUNTIFS('Self-Assessment'!I$29:I$313,1,'Self-Assessment'!Q$29:Q$313,1,'Self-Assessment'!R$29:R$313,1),"")</f>
        <v>2</v>
      </c>
      <c r="D20" s="71">
        <f>IFERROR(COUNTIFS('Self-Assessment'!I$29:I$313,1,'Self-Assessment'!Q$29:Q$313,1,'Self-Assessment'!S$29:S$313,1),"")</f>
        <v>2</v>
      </c>
      <c r="E20" s="71">
        <f>IFERROR(COUNTIFS('Self-Assessment'!I$29:I$313,1,'Self-Assessment'!Q$29:Q$313,1,'Self-Assessment'!T$29:T$313,1),"")</f>
        <v>4</v>
      </c>
      <c r="G20" s="77"/>
      <c r="H20" s="77"/>
      <c r="I20" s="77"/>
      <c r="J20" s="77"/>
    </row>
    <row r="21" spans="2:10" s="74" customFormat="1" ht="16" thickTop="1">
      <c r="B21" s="73"/>
      <c r="C21" s="73"/>
      <c r="D21" s="73"/>
      <c r="E21" s="73"/>
      <c r="G21" s="77"/>
      <c r="H21" s="77"/>
      <c r="I21" s="77"/>
      <c r="J21" s="77"/>
    </row>
    <row r="22" spans="2:10" s="74" customFormat="1" ht="19">
      <c r="B22" s="75" t="s">
        <v>7</v>
      </c>
      <c r="C22" s="76"/>
      <c r="D22" s="76"/>
      <c r="E22" s="76"/>
      <c r="G22" s="77"/>
      <c r="H22" s="77"/>
      <c r="I22" s="77"/>
      <c r="J22" s="77"/>
    </row>
    <row r="23" spans="2:10" s="74" customFormat="1">
      <c r="B23" s="76"/>
      <c r="C23" s="76"/>
      <c r="D23" s="76"/>
      <c r="E23" s="76"/>
      <c r="G23" s="77"/>
      <c r="H23" s="77"/>
      <c r="I23" s="77"/>
      <c r="J23" s="77"/>
    </row>
    <row r="24" spans="2:10" s="74" customFormat="1">
      <c r="B24" s="78"/>
      <c r="C24" s="170" t="s">
        <v>31</v>
      </c>
      <c r="D24" s="170"/>
      <c r="E24" s="170"/>
      <c r="G24" s="77"/>
      <c r="H24" s="77"/>
      <c r="I24" s="77"/>
      <c r="J24" s="77"/>
    </row>
    <row r="25" spans="2:10" s="74" customFormat="1" ht="32">
      <c r="B25" s="79" t="s">
        <v>22</v>
      </c>
      <c r="C25" s="80" t="s">
        <v>36</v>
      </c>
      <c r="D25" s="80" t="s">
        <v>37</v>
      </c>
      <c r="E25" s="80" t="s">
        <v>38</v>
      </c>
      <c r="G25" s="77"/>
      <c r="H25" s="77"/>
      <c r="I25" s="77"/>
      <c r="J25" s="77"/>
    </row>
    <row r="26" spans="2:10" s="74" customFormat="1" ht="33" customHeight="1">
      <c r="B26" s="81" t="s">
        <v>32</v>
      </c>
      <c r="C26" s="69">
        <f>IFERROR(COUNTIFS('Self-Assessment'!J$29:J$313,1,'Self-Assessment'!N$29:N$313,1,'Self-Assessment'!R$29:R$313,1),"")</f>
        <v>3</v>
      </c>
      <c r="D26" s="69">
        <f>IFERROR(COUNTIFS('Self-Assessment'!J$29:J$313,1,'Self-Assessment'!N$29:N$313,1,'Self-Assessment'!S$29:S$313,1),"")</f>
        <v>3</v>
      </c>
      <c r="E26" s="69">
        <f>IFERROR(COUNTIFS('Self-Assessment'!J$29:J$313,1,'Self-Assessment'!N$29:N$313,1,'Self-Assessment'!T$29:T$313,1),"")</f>
        <v>3</v>
      </c>
      <c r="G26" s="77"/>
      <c r="H26" s="77"/>
      <c r="I26" s="77"/>
      <c r="J26" s="77"/>
    </row>
    <row r="27" spans="2:10" s="74" customFormat="1" ht="33" customHeight="1">
      <c r="B27" s="82" t="s">
        <v>33</v>
      </c>
      <c r="C27" s="70">
        <f>IFERROR(COUNTIFS('Self-Assessment'!J$29:J$313,1,'Self-Assessment'!O$29:O$313,1,'Self-Assessment'!R$29:R$313,1),"")</f>
        <v>1</v>
      </c>
      <c r="D27" s="70">
        <f>IFERROR(COUNTIFS('Self-Assessment'!J$29:J$313,1,'Self-Assessment'!O$29:O$313,1,'Self-Assessment'!S$29:S$313,1),"")</f>
        <v>1</v>
      </c>
      <c r="E27" s="70">
        <f>IFERROR(COUNTIFS('Self-Assessment'!J$29:J$313,1,'Self-Assessment'!O$29:O$313,1,'Self-Assessment'!T$29:T$313,1),"")</f>
        <v>5</v>
      </c>
      <c r="G27" s="77"/>
      <c r="H27" s="77"/>
      <c r="I27" s="77"/>
      <c r="J27" s="77"/>
    </row>
    <row r="28" spans="2:10" s="74" customFormat="1" ht="33" customHeight="1">
      <c r="B28" s="82" t="s">
        <v>34</v>
      </c>
      <c r="C28" s="70">
        <f>IFERROR(COUNTIFS('Self-Assessment'!J$29:J$313,1,'Self-Assessment'!P$29:P$313,1,'Self-Assessment'!R$29:R$313,1),"")</f>
        <v>2</v>
      </c>
      <c r="D28" s="70">
        <f>IFERROR(COUNTIFS('Self-Assessment'!J$29:J$313,1,'Self-Assessment'!P$29:P$313,1,'Self-Assessment'!S$29:S$313,1),"")</f>
        <v>4</v>
      </c>
      <c r="E28" s="70">
        <f>IFERROR(COUNTIFS('Self-Assessment'!J$29:J$313,1,'Self-Assessment'!P$29:P$313,1,'Self-Assessment'!T$29:T$313,1),"")</f>
        <v>5</v>
      </c>
      <c r="G28" s="77"/>
      <c r="H28" s="77"/>
      <c r="I28" s="77"/>
      <c r="J28" s="77"/>
    </row>
    <row r="29" spans="2:10" s="74" customFormat="1" ht="33" customHeight="1" thickBot="1">
      <c r="B29" s="83" t="s">
        <v>35</v>
      </c>
      <c r="C29" s="71">
        <f>IFERROR(COUNTIFS('Self-Assessment'!J$29:J$313,1,'Self-Assessment'!Q$29:Q$313,1,'Self-Assessment'!R$29:R$313,1),"")</f>
        <v>3</v>
      </c>
      <c r="D29" s="71">
        <f>IFERROR(COUNTIFS('Self-Assessment'!J$29:J$313,1,'Self-Assessment'!Q$29:Q$313,1,'Self-Assessment'!S$29:S$313,1),"")</f>
        <v>1</v>
      </c>
      <c r="E29" s="71">
        <f>IFERROR(COUNTIFS('Self-Assessment'!J$29:J$313,1,'Self-Assessment'!Q$29:Q$313,1,'Self-Assessment'!T$29:T$313,1),"")</f>
        <v>2</v>
      </c>
      <c r="G29" s="77"/>
      <c r="H29" s="77"/>
      <c r="I29" s="77"/>
      <c r="J29" s="77"/>
    </row>
    <row r="30" spans="2:10" s="74" customFormat="1" ht="16" thickTop="1">
      <c r="B30" s="73"/>
      <c r="C30" s="73"/>
      <c r="D30" s="73"/>
      <c r="E30" s="73"/>
      <c r="G30" s="77"/>
      <c r="H30" s="77"/>
      <c r="I30" s="77"/>
      <c r="J30" s="77"/>
    </row>
    <row r="31" spans="2:10" s="74" customFormat="1" ht="19">
      <c r="B31" s="75" t="s">
        <v>63</v>
      </c>
      <c r="C31" s="76"/>
      <c r="D31" s="76"/>
      <c r="E31" s="76"/>
      <c r="G31" s="77"/>
      <c r="H31" s="77"/>
      <c r="I31" s="77"/>
      <c r="J31" s="77"/>
    </row>
    <row r="32" spans="2:10" s="74" customFormat="1">
      <c r="B32" s="76"/>
      <c r="C32" s="76"/>
      <c r="D32" s="76"/>
      <c r="E32" s="76"/>
      <c r="G32" s="77"/>
      <c r="H32" s="77"/>
      <c r="I32" s="77"/>
      <c r="J32" s="77"/>
    </row>
    <row r="33" spans="2:10" s="74" customFormat="1">
      <c r="B33" s="78"/>
      <c r="C33" s="170" t="s">
        <v>31</v>
      </c>
      <c r="D33" s="170"/>
      <c r="E33" s="170"/>
      <c r="G33" s="77"/>
      <c r="H33" s="77"/>
      <c r="I33" s="77"/>
      <c r="J33" s="77"/>
    </row>
    <row r="34" spans="2:10" s="74" customFormat="1" ht="32">
      <c r="B34" s="79" t="s">
        <v>22</v>
      </c>
      <c r="C34" s="80" t="s">
        <v>36</v>
      </c>
      <c r="D34" s="80" t="s">
        <v>37</v>
      </c>
      <c r="E34" s="80" t="s">
        <v>38</v>
      </c>
      <c r="G34" s="77"/>
      <c r="H34" s="77"/>
      <c r="I34" s="77"/>
      <c r="J34" s="77"/>
    </row>
    <row r="35" spans="2:10" s="74" customFormat="1" ht="33" customHeight="1">
      <c r="B35" s="81" t="s">
        <v>32</v>
      </c>
      <c r="C35" s="69">
        <f>IFERROR(COUNTIFS('Self-Assessment'!K$29:K$313,1,'Self-Assessment'!N$29:N$313,1,'Self-Assessment'!R$29:R$313,1),"")</f>
        <v>8</v>
      </c>
      <c r="D35" s="69">
        <f>IFERROR(COUNTIFS('Self-Assessment'!K$29:K$313,1,'Self-Assessment'!N$29:N$313,1,'Self-Assessment'!S$29:S$313,1),"")</f>
        <v>3</v>
      </c>
      <c r="E35" s="69">
        <f>IFERROR(COUNTIFS('Self-Assessment'!K$29:K$313,1,'Self-Assessment'!N$29:N$313,1,'Self-Assessment'!T$29:T$313,1),"")</f>
        <v>5</v>
      </c>
      <c r="G35" s="77"/>
      <c r="H35" s="77"/>
      <c r="I35" s="77"/>
      <c r="J35" s="77"/>
    </row>
    <row r="36" spans="2:10" s="74" customFormat="1" ht="33" customHeight="1">
      <c r="B36" s="82" t="s">
        <v>33</v>
      </c>
      <c r="C36" s="70">
        <f>IFERROR(COUNTIFS('Self-Assessment'!K$29:K$313,1,'Self-Assessment'!O$29:O$313,1,'Self-Assessment'!R$29:R$313,1),"")</f>
        <v>8</v>
      </c>
      <c r="D36" s="70">
        <f>IFERROR(COUNTIFS('Self-Assessment'!K$29:K$313,1,'Self-Assessment'!O$29:O$313,1,'Self-Assessment'!S$29:S$313,1),"")</f>
        <v>2</v>
      </c>
      <c r="E36" s="70">
        <f>IFERROR(COUNTIFS('Self-Assessment'!K$29:K$313,1,'Self-Assessment'!O$29:O$313,1,'Self-Assessment'!T$29:T$313,1),"")</f>
        <v>4</v>
      </c>
      <c r="G36" s="77"/>
      <c r="H36" s="77"/>
      <c r="I36" s="77"/>
      <c r="J36" s="77"/>
    </row>
    <row r="37" spans="2:10" s="74" customFormat="1" ht="33" customHeight="1">
      <c r="B37" s="82" t="s">
        <v>34</v>
      </c>
      <c r="C37" s="70">
        <f>IFERROR(COUNTIFS('Self-Assessment'!K$29:K$313,1,'Self-Assessment'!P$29:P$313,1,'Self-Assessment'!R$29:R$313,1),"")</f>
        <v>5</v>
      </c>
      <c r="D37" s="70">
        <f>IFERROR(COUNTIFS('Self-Assessment'!K$29:K$313,1,'Self-Assessment'!P$29:P$313,1,'Self-Assessment'!S$29:S$313,1),"")</f>
        <v>2</v>
      </c>
      <c r="E37" s="70">
        <f>IFERROR(COUNTIFS('Self-Assessment'!K$29:K$313,1,'Self-Assessment'!P$29:P$313,1,'Self-Assessment'!T$29:T$313,1),"")</f>
        <v>1</v>
      </c>
      <c r="G37" s="77"/>
      <c r="H37" s="77"/>
      <c r="I37" s="77"/>
      <c r="J37" s="77"/>
    </row>
    <row r="38" spans="2:10" s="74" customFormat="1" ht="33" customHeight="1" thickBot="1">
      <c r="B38" s="83" t="s">
        <v>35</v>
      </c>
      <c r="C38" s="71">
        <f>IFERROR(COUNTIFS('Self-Assessment'!K$29:K$313,1,'Self-Assessment'!Q$29:Q$313,1,'Self-Assessment'!R$29:R$313,1),"")</f>
        <v>5</v>
      </c>
      <c r="D38" s="71">
        <f>IFERROR(COUNTIFS('Self-Assessment'!K$29:K$313,1,'Self-Assessment'!Q$29:Q$313,1,'Self-Assessment'!S$29:S$313,1),"")</f>
        <v>1</v>
      </c>
      <c r="E38" s="71">
        <f>IFERROR(COUNTIFS('Self-Assessment'!K$29:K$313,1,'Self-Assessment'!Q$29:Q$313,1,'Self-Assessment'!T$29:T$313,1),"")</f>
        <v>3</v>
      </c>
      <c r="G38" s="77"/>
      <c r="H38" s="77"/>
      <c r="I38" s="77"/>
      <c r="J38" s="77"/>
    </row>
    <row r="39" spans="2:10" s="74" customFormat="1" ht="16" thickTop="1">
      <c r="B39" s="73"/>
      <c r="C39" s="73"/>
      <c r="D39" s="73"/>
      <c r="E39" s="73"/>
      <c r="G39" s="77"/>
      <c r="H39" s="77"/>
      <c r="I39" s="77"/>
      <c r="J39" s="77"/>
    </row>
    <row r="40" spans="2:10" s="74" customFormat="1">
      <c r="B40" s="73"/>
      <c r="C40" s="73"/>
      <c r="D40" s="73"/>
      <c r="E40" s="73"/>
      <c r="G40" s="77"/>
      <c r="H40" s="77"/>
      <c r="I40" s="77"/>
      <c r="J40" s="77"/>
    </row>
    <row r="41" spans="2:10" s="74" customFormat="1" ht="19">
      <c r="B41" s="75" t="s">
        <v>8</v>
      </c>
      <c r="C41" s="76"/>
      <c r="D41" s="76"/>
      <c r="E41" s="76"/>
      <c r="G41" s="77"/>
      <c r="H41" s="77"/>
      <c r="I41" s="77"/>
      <c r="J41" s="77"/>
    </row>
    <row r="42" spans="2:10" s="74" customFormat="1">
      <c r="B42" s="76"/>
      <c r="C42" s="76"/>
      <c r="D42" s="76"/>
      <c r="E42" s="76"/>
      <c r="G42" s="77"/>
      <c r="H42" s="77"/>
      <c r="I42" s="77"/>
      <c r="J42" s="77"/>
    </row>
    <row r="43" spans="2:10" s="74" customFormat="1">
      <c r="B43" s="78"/>
      <c r="C43" s="170" t="s">
        <v>31</v>
      </c>
      <c r="D43" s="170"/>
      <c r="E43" s="170"/>
      <c r="G43" s="77"/>
      <c r="H43" s="77"/>
      <c r="I43" s="77"/>
      <c r="J43" s="77"/>
    </row>
    <row r="44" spans="2:10" s="74" customFormat="1" ht="32">
      <c r="B44" s="79" t="s">
        <v>22</v>
      </c>
      <c r="C44" s="80" t="s">
        <v>36</v>
      </c>
      <c r="D44" s="80" t="s">
        <v>37</v>
      </c>
      <c r="E44" s="80" t="s">
        <v>38</v>
      </c>
      <c r="G44" s="77"/>
      <c r="H44" s="77"/>
      <c r="I44" s="77"/>
      <c r="J44" s="77"/>
    </row>
    <row r="45" spans="2:10" s="74" customFormat="1" ht="33" customHeight="1">
      <c r="B45" s="81" t="s">
        <v>32</v>
      </c>
      <c r="C45" s="69">
        <f>IFERROR(COUNTIFS('Self-Assessment'!L$29:L$313,1,'Self-Assessment'!N$29:N$313,1,'Self-Assessment'!R$29:R$313,1),"")</f>
        <v>8</v>
      </c>
      <c r="D45" s="69">
        <f>IFERROR(COUNTIFS('Self-Assessment'!L$29:L$313,1,'Self-Assessment'!N$29:N$313,1,'Self-Assessment'!S$29:S$313,1),"")</f>
        <v>1</v>
      </c>
      <c r="E45" s="69">
        <f>IFERROR(COUNTIFS('Self-Assessment'!L$29:L$313,1,'Self-Assessment'!N$29:N$313,1,'Self-Assessment'!T$29:T$313,1),"")</f>
        <v>5</v>
      </c>
      <c r="G45" s="77"/>
      <c r="H45" s="77"/>
      <c r="I45" s="77"/>
      <c r="J45" s="77"/>
    </row>
    <row r="46" spans="2:10" s="74" customFormat="1" ht="33" customHeight="1">
      <c r="B46" s="82" t="s">
        <v>33</v>
      </c>
      <c r="C46" s="70">
        <f>IFERROR(COUNTIFS('Self-Assessment'!L$29:L$313,1,'Self-Assessment'!O$29:O$313,1,'Self-Assessment'!R$29:R$313,1),"")</f>
        <v>4</v>
      </c>
      <c r="D46" s="70">
        <f>IFERROR(COUNTIFS('Self-Assessment'!L$29:L$313,1,'Self-Assessment'!O$29:O$313,1,'Self-Assessment'!S$29:S$313,1),"")</f>
        <v>2</v>
      </c>
      <c r="E46" s="70">
        <f>IFERROR(COUNTIFS('Self-Assessment'!L$29:L$313,1,'Self-Assessment'!O$29:O$313,1,'Self-Assessment'!T$29:T$313,1),"")</f>
        <v>5</v>
      </c>
      <c r="G46" s="77"/>
      <c r="H46" s="77"/>
      <c r="I46" s="77"/>
      <c r="J46" s="77"/>
    </row>
    <row r="47" spans="2:10" s="74" customFormat="1" ht="33" customHeight="1">
      <c r="B47" s="82" t="s">
        <v>34</v>
      </c>
      <c r="C47" s="70">
        <f>IFERROR(COUNTIFS('Self-Assessment'!L$29:L$313,1,'Self-Assessment'!P$29:P$313,1,'Self-Assessment'!R$29:R$313,1),"")</f>
        <v>2</v>
      </c>
      <c r="D47" s="70">
        <f>IFERROR(COUNTIFS('Self-Assessment'!L$29:L$313,1,'Self-Assessment'!P$29:P$313,1,'Self-Assessment'!S$29:S$313,1),"")</f>
        <v>1</v>
      </c>
      <c r="E47" s="70">
        <f>IFERROR(COUNTIFS('Self-Assessment'!L$29:L$313,1,'Self-Assessment'!P$29:P$313,1,'Self-Assessment'!T$29:T$313,1),"")</f>
        <v>4</v>
      </c>
      <c r="G47" s="77"/>
      <c r="H47" s="77"/>
      <c r="I47" s="77"/>
      <c r="J47" s="77"/>
    </row>
    <row r="48" spans="2:10" s="74" customFormat="1" ht="33" customHeight="1" thickBot="1">
      <c r="B48" s="83" t="s">
        <v>35</v>
      </c>
      <c r="C48" s="71">
        <f>IFERROR(COUNTIFS('Self-Assessment'!L$29:L$313,1,'Self-Assessment'!Q$29:Q$313,1,'Self-Assessment'!R$29:R$313,1),"")</f>
        <v>1</v>
      </c>
      <c r="D48" s="71">
        <f>IFERROR(COUNTIFS('Self-Assessment'!L$29:L$313,1,'Self-Assessment'!Q$29:Q$313,1,'Self-Assessment'!S$29:S$313,1),"")</f>
        <v>1</v>
      </c>
      <c r="E48" s="71">
        <f>IFERROR(COUNTIFS('Self-Assessment'!L$29:L$313,1,'Self-Assessment'!Q$29:Q$313,1,'Self-Assessment'!T$29:T$313,1),"")</f>
        <v>4</v>
      </c>
      <c r="G48" s="77"/>
      <c r="H48" s="77"/>
      <c r="I48" s="77"/>
      <c r="J48" s="77"/>
    </row>
    <row r="49" spans="2:10" s="74" customFormat="1" ht="16" thickTop="1">
      <c r="B49" s="73"/>
      <c r="C49" s="73"/>
      <c r="D49" s="73"/>
      <c r="E49" s="73"/>
      <c r="G49" s="77"/>
      <c r="H49" s="77"/>
      <c r="I49" s="77"/>
      <c r="J49" s="77"/>
    </row>
    <row r="50" spans="2:10" s="74" customFormat="1" ht="19">
      <c r="B50" s="75" t="s">
        <v>9</v>
      </c>
      <c r="C50" s="76"/>
      <c r="D50" s="76"/>
      <c r="E50" s="76"/>
      <c r="G50" s="77"/>
      <c r="H50" s="77"/>
      <c r="I50" s="77"/>
      <c r="J50" s="77"/>
    </row>
    <row r="51" spans="2:10" s="74" customFormat="1" hidden="1">
      <c r="B51" s="76"/>
      <c r="C51" s="76"/>
      <c r="D51" s="76"/>
      <c r="E51" s="76"/>
      <c r="G51" s="77"/>
      <c r="H51" s="77"/>
      <c r="I51" s="77"/>
      <c r="J51" s="77"/>
    </row>
    <row r="52" spans="2:10" s="74" customFormat="1">
      <c r="B52" s="78"/>
      <c r="C52" s="170" t="s">
        <v>31</v>
      </c>
      <c r="D52" s="170"/>
      <c r="E52" s="170"/>
      <c r="G52" s="77"/>
      <c r="H52" s="77"/>
      <c r="I52" s="77"/>
      <c r="J52" s="77"/>
    </row>
    <row r="53" spans="2:10" s="74" customFormat="1" ht="32">
      <c r="B53" s="79" t="s">
        <v>22</v>
      </c>
      <c r="C53" s="80" t="s">
        <v>36</v>
      </c>
      <c r="D53" s="80" t="s">
        <v>37</v>
      </c>
      <c r="E53" s="80" t="s">
        <v>38</v>
      </c>
      <c r="G53" s="77"/>
      <c r="H53" s="77"/>
      <c r="I53" s="77"/>
      <c r="J53" s="77"/>
    </row>
    <row r="54" spans="2:10" s="74" customFormat="1" ht="33" customHeight="1">
      <c r="B54" s="81" t="s">
        <v>32</v>
      </c>
      <c r="C54" s="69">
        <f>IFERROR(COUNTIFS('Self-Assessment'!M$29:M$313,1,'Self-Assessment'!N$29:N$313,1,'Self-Assessment'!R$29:R$313,1),"")</f>
        <v>1</v>
      </c>
      <c r="D54" s="69">
        <f>IFERROR(COUNTIFS('Self-Assessment'!M$29:M$313,1,'Self-Assessment'!N$29:N$313,1,'Self-Assessment'!S$29:S$313,1),"")</f>
        <v>2</v>
      </c>
      <c r="E54" s="69">
        <f>IFERROR(COUNTIFS('Self-Assessment'!M$29:M$313,1,'Self-Assessment'!N$29:N$313,1,'Self-Assessment'!T$29:T$313,1),"")</f>
        <v>2</v>
      </c>
      <c r="G54" s="77"/>
      <c r="H54" s="77"/>
      <c r="I54" s="77"/>
      <c r="J54" s="77"/>
    </row>
    <row r="55" spans="2:10" s="74" customFormat="1" ht="33" customHeight="1">
      <c r="B55" s="82" t="s">
        <v>33</v>
      </c>
      <c r="C55" s="70">
        <f>IFERROR(COUNTIFS('Self-Assessment'!M$29:M$313,1,'Self-Assessment'!O$29:O$313,1,'Self-Assessment'!R$29:R$313,1),"")</f>
        <v>3</v>
      </c>
      <c r="D55" s="70">
        <f>IFERROR(COUNTIFS('Self-Assessment'!M$29:M$313,1,'Self-Assessment'!O$29:O$313,1,'Self-Assessment'!S$29:S$313,1),"")</f>
        <v>2</v>
      </c>
      <c r="E55" s="70">
        <f>IFERROR(COUNTIFS('Self-Assessment'!M$29:M$313,1,'Self-Assessment'!O$29:O$313,1,'Self-Assessment'!T$29:T$313,1),"")</f>
        <v>4</v>
      </c>
      <c r="G55" s="77"/>
      <c r="H55" s="77"/>
      <c r="I55" s="77"/>
      <c r="J55" s="77"/>
    </row>
    <row r="56" spans="2:10" s="74" customFormat="1" ht="33" customHeight="1">
      <c r="B56" s="82" t="s">
        <v>34</v>
      </c>
      <c r="C56" s="70">
        <f>IFERROR(COUNTIFS('Self-Assessment'!M$29:M$313,1,'Self-Assessment'!P$29:P$313,1,'Self-Assessment'!R$29:R$313,1),"")</f>
        <v>3</v>
      </c>
      <c r="D56" s="70">
        <f>IFERROR(COUNTIFS('Self-Assessment'!M$29:M$313,1,'Self-Assessment'!P$29:P$313,1,'Self-Assessment'!S$29:S$313,1),"")</f>
        <v>1</v>
      </c>
      <c r="E56" s="70">
        <f>IFERROR(COUNTIFS('Self-Assessment'!M$29:M$313,1,'Self-Assessment'!P$29:P$313,1,'Self-Assessment'!T$29:T$313,1),"")</f>
        <v>2</v>
      </c>
      <c r="G56" s="77"/>
      <c r="H56" s="77"/>
      <c r="I56" s="77"/>
      <c r="J56" s="77"/>
    </row>
    <row r="57" spans="2:10" s="74" customFormat="1" ht="33" customHeight="1" thickBot="1">
      <c r="B57" s="83" t="s">
        <v>35</v>
      </c>
      <c r="C57" s="71">
        <f>IFERROR(COUNTIFS('Self-Assessment'!M$29:M$313,1,'Self-Assessment'!Q$29:Q$313,1,'Self-Assessment'!R$29:R$313,1),"")</f>
        <v>1</v>
      </c>
      <c r="D57" s="71">
        <f>IFERROR(COUNTIFS('Self-Assessment'!M$29:M$313,1,'Self-Assessment'!Q$29:Q$313,1,'Self-Assessment'!S$29:S$313,1),"")</f>
        <v>3</v>
      </c>
      <c r="E57" s="71">
        <f>IFERROR(COUNTIFS('Self-Assessment'!M$29:M$313,1,'Self-Assessment'!Q$29:Q$313,1,'Self-Assessment'!T$29:T$313,1),"")</f>
        <v>2</v>
      </c>
      <c r="G57" s="77"/>
      <c r="H57" s="77"/>
      <c r="I57" s="77"/>
      <c r="J57" s="77"/>
    </row>
    <row r="58" spans="2:10" s="74" customFormat="1" ht="16" hidden="1" thickTop="1">
      <c r="B58" s="73"/>
      <c r="C58" s="73"/>
      <c r="D58" s="73"/>
      <c r="E58" s="73"/>
      <c r="G58" s="77"/>
      <c r="H58" s="77"/>
      <c r="I58" s="77"/>
      <c r="J58" s="77"/>
    </row>
    <row r="59" spans="2:10" ht="16" hidden="1" thickTop="1"/>
    <row r="60" spans="2:10" s="74" customFormat="1" ht="16" thickTop="1">
      <c r="B60" s="73"/>
      <c r="C60" s="73"/>
      <c r="D60" s="73"/>
      <c r="E60" s="73"/>
      <c r="G60" s="77"/>
      <c r="H60" s="77"/>
      <c r="I60" s="77"/>
      <c r="J60" s="77"/>
    </row>
    <row r="62" spans="2:10" s="74" customFormat="1" hidden="1">
      <c r="B62" s="73"/>
      <c r="C62" s="73"/>
      <c r="D62" s="73"/>
      <c r="E62" s="73"/>
      <c r="G62" s="77"/>
      <c r="H62" s="77"/>
      <c r="I62" s="77"/>
      <c r="J62" s="77"/>
    </row>
  </sheetData>
  <sheetProtection sheet="1" objects="1" scenarios="1"/>
  <mergeCells count="7">
    <mergeCell ref="B2:E2"/>
    <mergeCell ref="C33:E33"/>
    <mergeCell ref="C43:E43"/>
    <mergeCell ref="C52:E52"/>
    <mergeCell ref="C6:E6"/>
    <mergeCell ref="C15:E15"/>
    <mergeCell ref="C24:E24"/>
  </mergeCells>
  <conditionalFormatting sqref="C8:E11">
    <cfRule type="colorScale" priority="18">
      <colorScale>
        <cfvo type="num" val="0"/>
        <cfvo type="num" val="1.5"/>
        <cfvo type="num" val="3"/>
        <color rgb="FFF8696B"/>
        <color rgb="FFFFEB84"/>
        <color rgb="FF63BE7B"/>
      </colorScale>
    </cfRule>
  </conditionalFormatting>
  <conditionalFormatting sqref="C17:E20">
    <cfRule type="colorScale" priority="19">
      <colorScale>
        <cfvo type="num" val="0"/>
        <cfvo type="num" val="1.5"/>
        <cfvo type="num" val="3"/>
        <color rgb="FFF8696B"/>
        <color rgb="FFFFEB84"/>
        <color rgb="FF63BE7B"/>
      </colorScale>
    </cfRule>
  </conditionalFormatting>
  <conditionalFormatting sqref="C26:E29">
    <cfRule type="colorScale" priority="20">
      <colorScale>
        <cfvo type="num" val="0"/>
        <cfvo type="num" val="1.5"/>
        <cfvo type="num" val="3"/>
        <color rgb="FFF8696B"/>
        <color rgb="FFFFEB84"/>
        <color rgb="FF63BE7B"/>
      </colorScale>
    </cfRule>
  </conditionalFormatting>
  <conditionalFormatting sqref="C35:E38">
    <cfRule type="colorScale" priority="21">
      <colorScale>
        <cfvo type="num" val="0"/>
        <cfvo type="num" val="1.5"/>
        <cfvo type="num" val="3"/>
        <color rgb="FFF8696B"/>
        <color rgb="FFFFEB84"/>
        <color rgb="FF63BE7B"/>
      </colorScale>
    </cfRule>
  </conditionalFormatting>
  <conditionalFormatting sqref="C45:E48">
    <cfRule type="colorScale" priority="22">
      <colorScale>
        <cfvo type="num" val="0"/>
        <cfvo type="num" val="1.5"/>
        <cfvo type="num" val="3"/>
        <color rgb="FFF8696B"/>
        <color rgb="FFFFEB84"/>
        <color rgb="FF63BE7B"/>
      </colorScale>
    </cfRule>
  </conditionalFormatting>
  <conditionalFormatting sqref="C54:E57">
    <cfRule type="colorScale" priority="23">
      <colorScale>
        <cfvo type="num" val="0"/>
        <cfvo type="num" val="1.5"/>
        <cfvo type="num" val="3"/>
        <color rgb="FFF8696B"/>
        <color rgb="FFFFEB84"/>
        <color rgb="FF63BE7B"/>
      </colorScale>
    </cfRule>
  </conditionalFormatting>
  <pageMargins left="0.7" right="0.7" top="0.75" bottom="0.75" header="0.3" footer="0.3"/>
  <pageSetup scale="65" fitToHeight="3" orientation="portrait" horizontalDpi="0" verticalDpi="0"/>
  <rowBreaks count="2" manualBreakCount="2">
    <brk id="20" max="6" man="1"/>
    <brk id="39" max="6"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73ECA-F014-C647-B16F-EA5A6AC1E8C3}">
  <dimension ref="A1:H7"/>
  <sheetViews>
    <sheetView workbookViewId="0">
      <selection activeCell="G7" sqref="G7"/>
    </sheetView>
  </sheetViews>
  <sheetFormatPr baseColWidth="10" defaultRowHeight="16"/>
  <cols>
    <col min="1" max="1" width="43.83203125" bestFit="1" customWidth="1"/>
  </cols>
  <sheetData>
    <row r="1" spans="1:8">
      <c r="B1" t="s">
        <v>32</v>
      </c>
      <c r="C1" t="s">
        <v>33</v>
      </c>
      <c r="D1" t="s">
        <v>34</v>
      </c>
      <c r="E1" t="s">
        <v>35</v>
      </c>
      <c r="F1" t="s">
        <v>36</v>
      </c>
      <c r="G1" t="s">
        <v>37</v>
      </c>
      <c r="H1" t="s">
        <v>38</v>
      </c>
    </row>
    <row r="2" spans="1:8">
      <c r="A2" t="s">
        <v>5</v>
      </c>
      <c r="B2" t="str">
        <f>IFERROR(AVERAGEIFS('Self-Assessment'!D$29:D$313,'Self-Assessment'!H$29:H$313,1,'Self-Assessment'!N$29:N$313,1),"")</f>
        <v/>
      </c>
      <c r="C2" t="str">
        <f>IFERROR(AVERAGEIFS('Self-Assessment'!D$29:D$313,'Self-Assessment'!H$29:H$313,1,'Self-Assessment'!O$29:O$313,1),"")</f>
        <v/>
      </c>
      <c r="D2" t="str">
        <f>IFERROR(AVERAGEIFS('Self-Assessment'!D$29:D$313,'Self-Assessment'!H$29:H$313,1,'Self-Assessment'!P$29:P$313,1),"")</f>
        <v/>
      </c>
      <c r="E2" t="str">
        <f>IFERROR(AVERAGEIFS('Self-Assessment'!D$29:D$313,'Self-Assessment'!H$29:H$313,1,'Self-Assessment'!Q$29:Q$313,1),"")</f>
        <v/>
      </c>
      <c r="F2" t="str">
        <f>IFERROR(AVERAGEIFS('Self-Assessment'!D$29:D$313,'Self-Assessment'!H$29:H$313,1,'Self-Assessment'!R$29:R$313,1),"")</f>
        <v/>
      </c>
      <c r="G2" t="str">
        <f>IFERROR(AVERAGEIFS('Self-Assessment'!D$29:D$313,'Self-Assessment'!H$29:H$313,1,'Self-Assessment'!S$29:S$313,1),"")</f>
        <v/>
      </c>
      <c r="H2" t="str">
        <f>IFERROR(AVERAGEIFS('Self-Assessment'!D$29:D$313,'Self-Assessment'!H$29:H$313,1,'Self-Assessment'!T$29:T$313,1),"")</f>
        <v/>
      </c>
    </row>
    <row r="3" spans="1:8">
      <c r="A3" t="s">
        <v>6</v>
      </c>
      <c r="B3" t="str">
        <f>IFERROR(AVERAGEIFS('Self-Assessment'!D$29:D$313,'Self-Assessment'!I$29:I$313,1,'Self-Assessment'!N$29:N$313,1),"")</f>
        <v/>
      </c>
      <c r="C3" t="str">
        <f>IFERROR(AVERAGEIFS('Self-Assessment'!D$29:D$313,'Self-Assessment'!I$29:I$313,1,'Self-Assessment'!O$29:O$313,1),"")</f>
        <v/>
      </c>
      <c r="D3" t="str">
        <f>IFERROR(AVERAGEIFS('Self-Assessment'!D$29:D$313,'Self-Assessment'!I$29:I$313,1,'Self-Assessment'!P$29:P$313,1),"")</f>
        <v/>
      </c>
      <c r="E3" t="str">
        <f>IFERROR(AVERAGEIFS('Self-Assessment'!D$29:D$313,'Self-Assessment'!I$29:I$313,1,'Self-Assessment'!Q$29:Q$313,1),"")</f>
        <v/>
      </c>
      <c r="F3" t="str">
        <f>IFERROR(AVERAGEIFS('Self-Assessment'!D$29:D$313,'Self-Assessment'!I$29:I$313,1,'Self-Assessment'!R$29:R$313,1),"")</f>
        <v/>
      </c>
      <c r="G3" t="str">
        <f>IFERROR(AVERAGEIFS('Self-Assessment'!D$29:D$313,'Self-Assessment'!I$29:I$313,1,'Self-Assessment'!S$29:S$313,1),"")</f>
        <v/>
      </c>
      <c r="H3" t="str">
        <f>IFERROR(AVERAGEIFS('Self-Assessment'!D$29:D$313,'Self-Assessment'!I$29:I$313,1,'Self-Assessment'!T$29:T$313,1),"")</f>
        <v/>
      </c>
    </row>
    <row r="4" spans="1:8">
      <c r="A4" t="s">
        <v>7</v>
      </c>
      <c r="B4" t="str">
        <f>IFERROR(AVERAGEIFS('Self-Assessment'!D$29:D$313,'Self-Assessment'!J$29:J$313,1,'Self-Assessment'!N$29:N$313,1),"")</f>
        <v/>
      </c>
      <c r="C4" t="str">
        <f>IFERROR(AVERAGEIFS('Self-Assessment'!D$29:D$313,'Self-Assessment'!J$29:J$313,1,'Self-Assessment'!O$29:O$313,1),"")</f>
        <v/>
      </c>
      <c r="D4" t="str">
        <f>IFERROR(AVERAGEIFS('Self-Assessment'!D$29:D$313,'Self-Assessment'!J$29:J$313,1,'Self-Assessment'!P$29:P$313,1),"")</f>
        <v/>
      </c>
      <c r="E4" t="str">
        <f>IFERROR(AVERAGEIFS('Self-Assessment'!D$29:D$313,'Self-Assessment'!J$29:J$313,1,'Self-Assessment'!Q$29:Q$313,1),"")</f>
        <v/>
      </c>
      <c r="F4" t="str">
        <f>IFERROR(AVERAGEIFS('Self-Assessment'!D$29:D$313,'Self-Assessment'!J$29:J$313,1,'Self-Assessment'!R$29:R$313,1),"")</f>
        <v/>
      </c>
      <c r="G4" t="str">
        <f>IFERROR(AVERAGEIFS('Self-Assessment'!D$29:D$313,'Self-Assessment'!J$29:J$313,1,'Self-Assessment'!S$29:S$313,1),"")</f>
        <v/>
      </c>
      <c r="H4" t="str">
        <f>IFERROR(AVERAGEIFS('Self-Assessment'!D$29:D$313,'Self-Assessment'!J$29:J$313,1,'Self-Assessment'!T$29:T$313,1),"")</f>
        <v/>
      </c>
    </row>
    <row r="5" spans="1:8">
      <c r="A5" t="s">
        <v>63</v>
      </c>
      <c r="B5" t="str">
        <f>IFERROR(AVERAGEIFS('Self-Assessment'!D$29:D$313,'Self-Assessment'!K$29:K$313,1,'Self-Assessment'!N$29:N$313,1),"")</f>
        <v/>
      </c>
      <c r="C5" t="str">
        <f>IFERROR(AVERAGEIFS('Self-Assessment'!D$29:D$313,'Self-Assessment'!K$29:K$313,1,'Self-Assessment'!O$29:O$313,1),"")</f>
        <v/>
      </c>
      <c r="D5" t="str">
        <f>IFERROR(AVERAGEIFS('Self-Assessment'!D$29:D$313,'Self-Assessment'!K$29:K$313,1,'Self-Assessment'!P$29:P$313,1),"")</f>
        <v/>
      </c>
      <c r="E5" t="str">
        <f>IFERROR(AVERAGEIFS('Self-Assessment'!D$29:D$313,'Self-Assessment'!K$29:K$313,1,'Self-Assessment'!Q$29:Q$313,1),"")</f>
        <v/>
      </c>
      <c r="F5" t="str">
        <f>IFERROR(AVERAGEIFS('Self-Assessment'!D$29:D$313,'Self-Assessment'!K$29:K$313,1,'Self-Assessment'!R$29:R$313,1),"")</f>
        <v/>
      </c>
      <c r="G5" t="str">
        <f>IFERROR(AVERAGEIFS('Self-Assessment'!D$29:D$313,'Self-Assessment'!K$29:K$313,1,'Self-Assessment'!S$29:S$313,1),"")</f>
        <v/>
      </c>
      <c r="H5" t="str">
        <f>IFERROR(AVERAGEIFS('Self-Assessment'!D$29:D$313,'Self-Assessment'!K$29:K$313,1,'Self-Assessment'!T$29:T$313,1),"")</f>
        <v/>
      </c>
    </row>
    <row r="6" spans="1:8">
      <c r="A6" t="s">
        <v>8</v>
      </c>
      <c r="B6" t="str">
        <f>IFERROR(AVERAGEIFS('Self-Assessment'!D$29:D$313,'Self-Assessment'!L$29:L$313,1,'Self-Assessment'!N$29:N$313,1),"")</f>
        <v/>
      </c>
      <c r="C6" t="str">
        <f>IFERROR(AVERAGEIFS('Self-Assessment'!D$29:D$313,'Self-Assessment'!L$29:L$313,1,'Self-Assessment'!O$29:O$313,1),"")</f>
        <v/>
      </c>
      <c r="D6" t="str">
        <f>IFERROR(AVERAGEIFS('Self-Assessment'!D$29:D$313,'Self-Assessment'!L$29:L$313,1,'Self-Assessment'!P$29:P$313,1),"")</f>
        <v/>
      </c>
      <c r="E6" t="str">
        <f>IFERROR(AVERAGEIFS('Self-Assessment'!D$29:D$313,'Self-Assessment'!L$29:L$313,1,'Self-Assessment'!Q$29:Q$313,1),"")</f>
        <v/>
      </c>
      <c r="F6" t="str">
        <f>IFERROR(AVERAGEIFS('Self-Assessment'!D$29:D$313,'Self-Assessment'!L$29:L$313,1,'Self-Assessment'!R$29:R$313,1),"")</f>
        <v/>
      </c>
      <c r="G6" t="str">
        <f>IFERROR(AVERAGEIFS('Self-Assessment'!D$29:D$313,'Self-Assessment'!L$29:L$313,1,'Self-Assessment'!S$29:S$313,1),"")</f>
        <v/>
      </c>
      <c r="H6" t="str">
        <f>IFERROR(AVERAGEIFS('Self-Assessment'!D$29:D$313,'Self-Assessment'!L$29:L$313,1,'Self-Assessment'!T$29:T$313,1),"")</f>
        <v/>
      </c>
    </row>
    <row r="7" spans="1:8">
      <c r="A7" t="s">
        <v>9</v>
      </c>
      <c r="B7" t="str">
        <f>IFERROR(AVERAGEIFS('Self-Assessment'!D$29:D$313,'Self-Assessment'!M$29:M$313,1,'Self-Assessment'!N$29:N$313,1),"")</f>
        <v/>
      </c>
      <c r="C7" t="str">
        <f>IFERROR(AVERAGEIFS('Self-Assessment'!D$29:D$313,'Self-Assessment'!M$29:M$313,1,'Self-Assessment'!O$29:O$313,1),"")</f>
        <v/>
      </c>
      <c r="D7" t="str">
        <f>IFERROR(AVERAGEIFS('Self-Assessment'!D$29:D$313,'Self-Assessment'!M$29:M$313,1,'Self-Assessment'!P$29:P$313,1),"")</f>
        <v/>
      </c>
      <c r="E7" t="str">
        <f>IFERROR(AVERAGEIFS('Self-Assessment'!D$29:D$313,'Self-Assessment'!M$29:M$313,1,'Self-Assessment'!Q$29:Q$313,1),"")</f>
        <v/>
      </c>
      <c r="F7" t="str">
        <f>IFERROR(AVERAGEIFS('Self-Assessment'!D$29:D$313,'Self-Assessment'!M$29:M$313,1,'Self-Assessment'!R$29:R$313,1),"")</f>
        <v/>
      </c>
      <c r="G7" t="str">
        <f>IFERROR(AVERAGEIFS('Self-Assessment'!D$29:D$313,'Self-Assessment'!M$29:M$313,1,'Self-Assessment'!S$29:S$313,1),"")</f>
        <v/>
      </c>
      <c r="H7" t="str">
        <f>IFERROR(AVERAGEIFS('Self-Assessment'!D$29:D$313,'Self-Assessment'!M$29:M$313,1,'Self-Assessment'!T$29:T$313,1),"")</f>
        <v/>
      </c>
    </row>
  </sheetData>
  <sheetProtection sheet="1" objects="1" scenarios="1"/>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Self-Assessment</vt:lpstr>
      <vt:lpstr>Scoring</vt:lpstr>
      <vt:lpstr>Recommendations</vt:lpstr>
      <vt:lpstr>Definitions</vt:lpstr>
      <vt:lpstr>c40_cities</vt:lpstr>
      <vt:lpstr>org_detail</vt:lpstr>
      <vt:lpstr>QCount</vt:lpstr>
      <vt:lpstr>scoring_table</vt:lpstr>
      <vt:lpstr>Definitions!Print_Area</vt:lpstr>
      <vt:lpstr>QCount!Print_Area</vt:lpstr>
      <vt:lpstr>Recommendations!Print_Area</vt:lpstr>
      <vt:lpstr>Scoring!Print_Area</vt:lpstr>
      <vt:lpstr>'Self-Assessment'!Print_Area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Mork</dc:creator>
  <cp:lastModifiedBy>Daniel Mork</cp:lastModifiedBy>
  <cp:lastPrinted>2026-01-18T03:15:15Z</cp:lastPrinted>
  <dcterms:created xsi:type="dcterms:W3CDTF">2025-11-07T02:27:55Z</dcterms:created>
  <dcterms:modified xsi:type="dcterms:W3CDTF">2026-01-19T04:31:51Z</dcterms:modified>
</cp:coreProperties>
</file>