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dmork/Documents/GitHub/C40_EQuiPD/pilot_city_reports/"/>
    </mc:Choice>
  </mc:AlternateContent>
  <xr:revisionPtr revIDLastSave="0" documentId="13_ncr:1_{5CEA6916-A5BB-7B40-81C6-D57440AE8171}" xr6:coauthVersionLast="47" xr6:coauthVersionMax="47" xr10:uidLastSave="{00000000-0000-0000-0000-000000000000}"/>
  <bookViews>
    <workbookView xWindow="400" yWindow="1020" windowWidth="28040" windowHeight="17880" xr2:uid="{30BB5428-C633-D247-A3EC-BE7DB74FA751}"/>
  </bookViews>
  <sheets>
    <sheet name="Self-Assessment" sheetId="1" r:id="rId1"/>
    <sheet name="Scoring" sheetId="2" r:id="rId2"/>
    <sheet name="Recommendations" sheetId="9" r:id="rId3"/>
    <sheet name="Definitions" sheetId="4" r:id="rId4"/>
    <sheet name="c40_cities" sheetId="6" r:id="rId5"/>
    <sheet name="org_detail" sheetId="5" r:id="rId6"/>
    <sheet name="QCount" sheetId="7" r:id="rId7"/>
    <sheet name="scoring_table" sheetId="8" r:id="rId8"/>
  </sheets>
  <definedNames>
    <definedName name="_xlnm._FilterDatabase" localSheetId="4" hidden="1">'c40_cities'!$A$1:$C$1</definedName>
    <definedName name="_xlnm._FilterDatabase" localSheetId="6" hidden="1">QCount!$C$54:$E$57</definedName>
    <definedName name="_xlnm._FilterDatabase" localSheetId="2" hidden="1">Recommendations!$B$7:$T$95</definedName>
    <definedName name="_xlnm._FilterDatabase" localSheetId="1" hidden="1">Scoring!$C$70:$E$73</definedName>
    <definedName name="_xlnm.Print_Area" localSheetId="3">Definitions!$A:$E</definedName>
    <definedName name="_xlnm.Print_Area" localSheetId="6">QCount!$A:$F</definedName>
    <definedName name="_xlnm.Print_Area" localSheetId="2">Recommendations!$A:$G</definedName>
    <definedName name="_xlnm.Print_Area" localSheetId="1">Scoring!$A:$G</definedName>
    <definedName name="_xlnm.Print_Area" localSheetId="0">'Self-Assessment'!$A:$G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53" i="2" l="1"/>
  <c r="B30" i="2"/>
  <c r="B7" i="2"/>
  <c r="D95" i="9" l="1"/>
  <c r="D94" i="9"/>
  <c r="D93" i="9"/>
  <c r="D92" i="9"/>
  <c r="D91" i="9"/>
  <c r="D90" i="9"/>
  <c r="D89" i="9"/>
  <c r="D88" i="9"/>
  <c r="D87" i="9"/>
  <c r="D86" i="9"/>
  <c r="D85" i="9"/>
  <c r="D84" i="9"/>
  <c r="D81" i="9"/>
  <c r="D80" i="9"/>
  <c r="D79" i="9"/>
  <c r="D78" i="9"/>
  <c r="D77" i="9"/>
  <c r="D76" i="9"/>
  <c r="D75" i="9"/>
  <c r="D74" i="9"/>
  <c r="D73" i="9"/>
  <c r="D72" i="9"/>
  <c r="D71" i="9"/>
  <c r="D70" i="9"/>
  <c r="D69" i="9"/>
  <c r="D68" i="9"/>
  <c r="D67" i="9"/>
  <c r="D66" i="9"/>
  <c r="D65" i="9"/>
  <c r="D64" i="9"/>
  <c r="D63" i="9"/>
  <c r="D60" i="9"/>
  <c r="D59" i="9"/>
  <c r="D58" i="9"/>
  <c r="D57" i="9"/>
  <c r="D56" i="9"/>
  <c r="D55" i="9"/>
  <c r="D54" i="9"/>
  <c r="D53" i="9"/>
  <c r="D52" i="9"/>
  <c r="D49" i="9"/>
  <c r="D48" i="9"/>
  <c r="D47" i="9"/>
  <c r="D46" i="9"/>
  <c r="D45" i="9"/>
  <c r="D44" i="9"/>
  <c r="D43" i="9"/>
  <c r="D42" i="9"/>
  <c r="D41" i="9"/>
  <c r="D40" i="9"/>
  <c r="D39" i="9"/>
  <c r="D38" i="9"/>
  <c r="D37" i="9"/>
  <c r="D36" i="9"/>
  <c r="D35" i="9"/>
  <c r="D32" i="9"/>
  <c r="D31" i="9"/>
  <c r="D30" i="9"/>
  <c r="D29" i="9"/>
  <c r="D28" i="9"/>
  <c r="D27" i="9"/>
  <c r="D26" i="9"/>
  <c r="D25" i="9"/>
  <c r="D24" i="9"/>
  <c r="D23" i="9"/>
  <c r="D22" i="9"/>
  <c r="D21" i="9"/>
  <c r="D20" i="9"/>
  <c r="D19" i="9"/>
  <c r="D18" i="9"/>
  <c r="D17" i="9"/>
  <c r="D16" i="9"/>
  <c r="D15" i="9"/>
  <c r="D14" i="9"/>
  <c r="D13" i="9"/>
  <c r="D12" i="9"/>
  <c r="D11" i="9"/>
  <c r="D10" i="9"/>
  <c r="D9" i="9"/>
  <c r="D8" i="9"/>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30" i="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6"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57" i="1" l="1"/>
  <c r="B58" i="1" s="1"/>
  <c r="B59" i="1" s="1"/>
  <c r="B60" i="1" s="1"/>
  <c r="B61" i="1" s="1"/>
  <c r="B62" i="1" s="1"/>
  <c r="B63" i="1" s="1"/>
  <c r="B64" i="1" s="1"/>
  <c r="B65" i="1" s="1"/>
  <c r="B66" i="1" s="1"/>
  <c r="B67" i="1" s="1"/>
  <c r="B68" i="1" s="1"/>
  <c r="B69" i="1" s="1"/>
  <c r="B70" i="1" s="1"/>
  <c r="B71" i="1" s="1"/>
  <c r="B73" i="1" s="1"/>
  <c r="B74" i="1" s="1"/>
  <c r="B75" i="1" s="1"/>
  <c r="B76" i="1" s="1"/>
  <c r="B77" i="1" s="1"/>
  <c r="B78" i="1" s="1"/>
  <c r="B79" i="1" s="1"/>
  <c r="B80" i="1" s="1"/>
  <c r="B81" i="1" s="1"/>
  <c r="B82" i="1" s="1"/>
  <c r="B84" i="1" s="1"/>
  <c r="B85" i="1" s="1"/>
  <c r="B86" i="1" s="1"/>
  <c r="B87" i="1" s="1"/>
  <c r="B88" i="1" s="1"/>
  <c r="B89" i="1" s="1"/>
  <c r="B90" i="1" s="1"/>
  <c r="B91" i="1" s="1"/>
  <c r="B92" i="1" s="1"/>
  <c r="B93" i="1" s="1"/>
  <c r="B94" i="1" s="1"/>
  <c r="B95" i="1" s="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alcChain>
</file>

<file path=xl/sharedStrings.xml><?xml version="1.0" encoding="utf-8"?>
<sst xmlns="http://schemas.openxmlformats.org/spreadsheetml/2006/main" count="859" uniqueCount="429">
  <si>
    <t>EQuiPD</t>
  </si>
  <si>
    <t>EQuiPD: Equity in Air Quality 
Policy &amp; Data Ecosystem</t>
  </si>
  <si>
    <t>Overview</t>
  </si>
  <si>
    <t>Self-Assessment Tool</t>
  </si>
  <si>
    <t>How to use the self-assessment tool</t>
  </si>
  <si>
    <t>Data-sharing partnerships &amp; management tools</t>
  </si>
  <si>
    <t>City/institutional buy-in, capacity building &amp; training</t>
  </si>
  <si>
    <t>Public support &amp; engagement</t>
  </si>
  <si>
    <t>Estimating air pollution</t>
  </si>
  <si>
    <t>Source &amp; emission inventories</t>
  </si>
  <si>
    <r>
      <rPr>
        <b/>
        <i/>
        <sz val="11"/>
        <color theme="1"/>
        <rFont val="Figtree"/>
      </rPr>
      <t>0</t>
    </r>
    <r>
      <rPr>
        <i/>
        <sz val="11"/>
        <color theme="1"/>
        <rFont val="Figtree"/>
      </rPr>
      <t xml:space="preserve">     No implementation or unknown.</t>
    </r>
  </si>
  <si>
    <r>
      <rPr>
        <b/>
        <i/>
        <sz val="11"/>
        <color theme="1"/>
        <rFont val="Figtree"/>
      </rPr>
      <t>1</t>
    </r>
    <r>
      <rPr>
        <i/>
        <sz val="11"/>
        <color theme="1"/>
        <rFont val="Figtree"/>
      </rPr>
      <t xml:space="preserve">     Limited implementation. Pilot work is underway related to some aspects of this question, but it is not sustainable or will not provide long-term actionable insights.</t>
    </r>
  </si>
  <si>
    <r>
      <rPr>
        <b/>
        <i/>
        <sz val="11"/>
        <color theme="1"/>
        <rFont val="Figtree"/>
      </rPr>
      <t>2</t>
    </r>
    <r>
      <rPr>
        <i/>
        <sz val="11"/>
        <color theme="1"/>
        <rFont val="Figtree"/>
      </rPr>
      <t xml:space="preserve">     Partial implementation. There is operational work related to this question that is ongoing but may be limited in terms of equity integration (e.g., it has not reached marginalized neighborhoods or cannot fully quantify or address potential disparities).</t>
    </r>
  </si>
  <si>
    <t>Self-scoring is necessary as you have the best knowledge of your own city’s capacities. The scoring scale for all questions is described as follows. You may assign fractional scores (e.g., 2.5) if you fall between two scores.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</si>
  <si>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</si>
  <si>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</si>
  <si>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</si>
  <si>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</si>
  <si>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</si>
  <si>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</si>
  <si>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</si>
  <si>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</si>
  <si>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</si>
  <si>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</si>
  <si>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</si>
  <si>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</si>
  <si>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</si>
  <si>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</si>
  <si>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</si>
  <si>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</si>
  <si>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</si>
  <si>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</si>
  <si>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</si>
  <si>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</si>
  <si>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</si>
  <si>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</si>
  <si>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</si>
  <si>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</si>
  <si>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</si>
  <si>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</si>
  <si>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</si>
  <si>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</si>
  <si>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</si>
  <si>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</si>
  <si>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</si>
  <si>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</si>
  <si>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</si>
  <si>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</si>
  <si>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</si>
  <si>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</si>
  <si>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</si>
  <si>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</si>
  <si>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</si>
  <si>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</si>
  <si>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</si>
  <si>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</si>
  <si>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</si>
  <si>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</si>
  <si>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</si>
  <si>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</si>
  <si>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</si>
  <si>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</si>
  <si>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</si>
  <si>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</si>
  <si>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</si>
  <si>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</si>
  <si>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</si>
  <si>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</si>
  <si>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</si>
  <si>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</si>
  <si>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</si>
  <si>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</si>
  <si>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</si>
  <si>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</si>
  <si>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</si>
  <si>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</si>
  <si>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</si>
  <si>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</si>
  <si>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</si>
  <si>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</si>
  <si>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</si>
  <si>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</si>
  <si>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</si>
  <si>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</si>
  <si>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</si>
  <si>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</si>
  <si>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</si>
  <si>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</si>
  <si>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</si>
  <si>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</si>
  <si>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</si>
  <si>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</si>
  <si>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</si>
  <si>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</si>
  <si>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</si>
  <si>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</si>
  <si>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</si>
  <si>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</si>
  <si>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</si>
  <si>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</si>
  <si>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</si>
  <si>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</si>
  <si>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</si>
  <si>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</si>
  <si>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</si>
  <si>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</si>
  <si>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</si>
  <si>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</si>
  <si>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</si>
  <si>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</si>
  <si>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</si>
  <si>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</si>
  <si>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</si>
  <si>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</si>
  <si>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</si>
  <si>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</si>
  <si>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</si>
  <si>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</si>
  <si>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</si>
  <si>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</si>
  <si>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</si>
  <si>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</si>
  <si>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</si>
  <si>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</si>
  <si>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</si>
  <si>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</si>
  <si>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</si>
  <si>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</si>
  <si>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</si>
  <si>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</si>
  <si>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</si>
  <si>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</si>
  <si>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</si>
  <si>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</si>
  <si>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</si>
  <si>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</si>
  <si>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</si>
  <si>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</si>
  <si>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</si>
  <si>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</si>
  <si>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</si>
  <si>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</si>
  <si>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</si>
  <si>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</si>
  <si>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</si>
  <si>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</si>
  <si>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</si>
  <si>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</si>
  <si>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</si>
  <si>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</si>
  <si>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</si>
  <si>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</si>
  <si>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</si>
  <si>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</si>
  <si>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</si>
  <si>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</si>
  <si>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</si>
  <si>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</si>
  <si>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</si>
  <si>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</si>
  <si>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</si>
  <si>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</si>
  <si>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</si>
  <si>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</si>
  <si>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</si>
  <si>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</si>
  <si>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</si>
  <si>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</si>
  <si>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</si>
  <si>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</si>
  <si>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</si>
  <si>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</si>
  <si>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</si>
  <si>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</si>
  <si>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</si>
  <si>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</si>
  <si>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</si>
  <si>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</si>
  <si>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</si>
  <si>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</si>
  <si>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</si>
  <si>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</si>
  <si>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</si>
  <si>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</si>
  <si>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</si>
  <si>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</si>
  <si>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</si>
  <si>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</si>
  <si>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</si>
  <si>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</si>
  <si>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</si>
  <si>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</si>
  <si>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</si>
  <si>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</si>
  <si>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</si>
  <si>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</si>
  <si>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</si>
  <si>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</si>
  <si>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</si>
  <si>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</si>
  <si>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</si>
  <si>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</si>
  <si>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</si>
  <si>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</si>
  <si>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</si>
  <si>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</si>
  <si>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</si>
  <si>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</si>
  <si>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</si>
  <si>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</si>
  <si>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</si>
  <si>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</si>
  <si>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</si>
  <si>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</si>
  <si>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 xml:space="preserve">     Other city (write here, formatted as "Country - City")</t>
  </si>
  <si>
    <t>City name? (Use dropdown list to select from C40 cities, or enter 'Not listed')</t>
  </si>
  <si>
    <t>Overall</t>
  </si>
  <si>
    <t>Definitions</t>
  </si>
  <si>
    <t>Are community members from marginalized or vulnerable groups–or from disproportionately exposed areas of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</si>
  <si>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</si>
  <si>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</si>
  <si>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Does  your city collect data on indoor air quality proxy measures?
“Proxy measures” include any data points that indicate potential indoor air quality problems. For example, mold complaints or mold abatement requests can indicate homes with poor indoor air quality.</t>
  </si>
  <si>
    <t>Do you collect data on how air quality-related costs (such as energy or transportation expenses) affect households and businesses?</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</si>
  <si>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vulnerable populations. Instead, equitable air quality policies should provide benefits to vulnerable populations, including economic and job-related benefits.</t>
  </si>
  <si>
    <t>Does your city collect data to track economic transitions related to air quality (e.g., shifts in employment, consumer prices, small business closures/openings)?</t>
  </si>
  <si>
    <t>Is there a mechanism (for example, regular meetings in neighborhoods across your city) to ensure that community-generated data and lived experiences are collected and used by city government staff for policy, resource allocation, and program design?</t>
  </si>
  <si>
    <t>Does your city track and make available data on competing risks to health and equity (e.g., drinking water quality, pesticide use, chemical exposures)?</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</si>
  <si>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</si>
  <si>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</si>
  <si>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</si>
  <si>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</si>
  <si>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</si>
  <si>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</si>
  <si>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</si>
  <si>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</si>
  <si>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</si>
  <si>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</si>
  <si>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Are smaller, un-inventoried, unconventional, hyper-local, or illegal sources of air pollution tracked by your city, preferably in consultation with vulnerable communities?
Such sources may include backyard burning or unlicensed chemical use.</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</si>
  <si>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</si>
  <si>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</si>
  <si>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</si>
  <si>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</si>
  <si>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</si>
  <si>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</si>
  <si>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</si>
  <si>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</si>
  <si>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Do marginalized groups or their representatives have a clear mechanism to provide input on—or object to—the data and assumptions underpinning equity impact analyses?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</si>
  <si>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</si>
  <si>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</si>
  <si>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</si>
  <si>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</si>
  <si>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Are equity-focused and community organizations meaningfully included in governance and capacity-building on issues related to data sources, data use, and data analysis, and not just technical agencies?</t>
  </si>
  <si>
    <t>Are the health sector and community organizations actively engaged in decision-making regarding data sources, data use, and data analyses, not just consulted after the fact?</t>
  </si>
  <si>
    <t>Ecosystem Domains</t>
  </si>
  <si>
    <t>Does the city or sponsor have access to long-term air quality monitoring data from national or state / provincial governments?
By “long-term,” this question refers to data collected over several years. Ideally, this data will be at high spatial and temporal (e.g., daily) resolution as well.</t>
  </si>
  <si>
    <t xml:space="preserve">Do models incorporate local source contributions to identify drivers of inequitable exposures  using resident-collected air quality data that is integrated with official datasets? </t>
  </si>
  <si>
    <t>This page counts the number of questions at the intersection of each category, domain, and equity theme. Areas with fewer questions may be areas of opportunity to further expand or consider revising scoring mapping.</t>
  </si>
  <si>
    <r>
      <rPr>
        <b/>
        <i/>
        <sz val="11"/>
        <color theme="1"/>
        <rFont val="Figtree"/>
      </rPr>
      <t>3</t>
    </r>
    <r>
      <rPr>
        <i/>
        <sz val="11"/>
        <color theme="1"/>
        <rFont val="Figtree"/>
      </rPr>
      <t xml:space="preserve">     Full implementation. Long-term, sustainable, and transparent ability to address this question. Equity is given full consideration with disaggregation (when applicable) across multiple characterizations (i.e., demographic, socioeconomic). </t>
    </r>
  </si>
  <si>
    <t>The Equity in Air Quality Policy and Data Ecosystem self-assessment (EQuiPD) tool will help you understand your city’s ability to effectively manage, use, craft, and implement policies at the intersection of air quality and equity - informed by air quality, health and equity data. EQuiPD is designed to guide your development around data, air quality monitoring, technical capacity, training, and infrastructure so that you can address air quality with full consideration of health and equity. You can use EQuiPD-generated results to ensure you have the necessary data for a more complete understanding of your city and determine if you have fundamental information necessary for designing equitable air quality policies and assessing policy benefits aligned with the five equity impact areas outlined in the C40 report: Clean air, healthy and thriving communities: Opportunities for city leadership [1]. Finally, EQuiPD will guide you in identifying gaps across your city’s equity in air quality policy ecosystem so you can focus development and strengthen the underlying data resources, technical capacities to manage and process data, and partnerships for sharing and integrating air quality, health and equity data that can compliment your city’s efforts to ensure more equitable policy outcomes.</t>
  </si>
  <si>
    <t>[1] Clean air, healthy and thriving communities: Opportunities for city leadership</t>
  </si>
  <si>
    <t>[2] Additional descriptions on categories, domains, and themes of equity used throughout this tool</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</si>
  <si>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</si>
  <si>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</si>
  <si>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</si>
  <si>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</si>
  <si>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</si>
  <si>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</si>
  <si>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</si>
  <si>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</si>
  <si>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</si>
  <si>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</si>
  <si>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Are mechanisms in place to ensure that the data and findings used for just energy transition planning and air quality policy implementation are communicated to and validated by women, youth, Indigenous peoples, racial/ethnic minorities, and other frontline communities relevant
to your city and context?</t>
  </si>
  <si>
    <t xml:space="preserve">*Do air pollution monitoring locations prioritize high-risk groups (for example., children, elderly, people with pre-existing conditions) and neighborhoods with historical underinvestment?
</t>
  </si>
  <si>
    <t>*Does your city collect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</si>
  <si>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 air pollution data from point, area, and mobile sources, including power plants, shipping lanes, transportation hubs and routes, and industrial areas?</t>
  </si>
  <si>
    <t>*Is data collected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</si>
  <si>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 or 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</si>
  <si>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 data on accessibility that can  characterize inequities for specific vulnerable populations, such as low-income or elderly populations?
For this question, “accessibility” refers to whether all city residents–regardless of their physical or intellectual abilities–can interact with the information on air quality and related issues that you provide.</t>
  </si>
  <si>
    <t>*Is there data to characterize access to public clean air spaces, including by multiple transportation modes, e.g. sidewalks, roadways, public transit?</t>
  </si>
  <si>
    <t>*Does your city collect health outcome data at high spatial and temporal resolution?
For example, does it collect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collects this data directly. Separate questions later in the questionnaire will ask about data sharing with hospitals, ministries of health, and other groups that may have health data.</t>
  </si>
  <si>
    <t>*Does your city collect labor market data (e.g., by gender, race/ethnicity, age, region, occupation) on current workforce composition, sectoral vulnerabilities related to air quality policies and energy transitions, and potential for participation in green job sectors?</t>
  </si>
  <si>
    <t>*Does your city collect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</si>
  <si>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systematically keep track of and report data gaps (for example, missing or unavailable data) in its datasets that might disproportionately impact disadvantaged communities?
For this question, “datasets” include all datasets relevant to equity analyses, such as data on health burdens, employment opportunities, economic activity, accessibility (e.g., transportation), etc.</t>
  </si>
  <si>
    <t>*Does your city have systems for documentation and version control for all of its datasets?</t>
  </si>
  <si>
    <t>*Do air quality modeling staff collaborate with staff maintaining air quality monitoring networks so that they can bias-correct model predictions?</t>
  </si>
  <si>
    <t>*Does your city collect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</si>
  <si>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</si>
  <si>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</si>
  <si>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r>
      <t xml:space="preserve">*Has your city established partnerships and processes to share </t>
    </r>
    <r>
      <rPr>
        <b/>
        <sz val="11"/>
        <color rgb="FF000000"/>
        <rFont val="Figtree"/>
      </rPr>
      <t xml:space="preserve">air quality </t>
    </r>
    <r>
      <rPr>
        <sz val="11"/>
        <color rgb="FF000000"/>
        <rFont val="Figtree"/>
      </rPr>
      <t>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</si>
  <si>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r>
      <t xml:space="preserve">*Has your city established partnerships and processes to share </t>
    </r>
    <r>
      <rPr>
        <b/>
        <sz val="11"/>
        <color rgb="FF000000"/>
        <rFont val="Figtree"/>
      </rPr>
      <t>health and economic impact/disparities</t>
    </r>
    <r>
      <rPr>
        <sz val="11"/>
        <color rgb="FF000000"/>
        <rFont val="Figtree"/>
      </rPr>
      <t xml:space="preserve">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</si>
  <si>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</si>
  <si>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</si>
  <si>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</si>
  <si>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*Does your city link source-specific emissions monitoring data to health and economic datasets?
For example,  traffic-related NO2 data could be linked with childhood asthma rates, or  shipping sulfur data could be linked with respiratory hospitalizations.</t>
  </si>
  <si>
    <t>*Does your city map historical data (e.g., data over many years) on environmental burdens (air pollution, heat waves, floods, chemical exposures, etc.) and social variables (including poverty rates, migration status, race / ethnicity of residents, etc.) across neighborhoods? 
Put differently, can you visualize on a map the number of environmental burdens each neighborhood in your city has experienced over time to understand whether and where vulnerable populations may face higher levels of total environmental burdens?
Burdens may include floods, heat waves, toxic chemical contamination, and other environmental burdens?</t>
  </si>
  <si>
    <t>*Is your city able to disaggregate air quality data to measure how different groups in your city–and particularly vulnerable and marginalized groups–are exposed to different levels of air pollution?
This process generally requires cities to be able to link and map sociodemographic and air pollution data, and to understand both (1) how air pollution differs across neighborhoods and (2) demographic characteristics of groups living in highly polluted neighborhoods.</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</si>
  <si>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</si>
  <si>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</si>
  <si>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*Are all health outcomes related to air pollution exposure disaggregated by demographics such as race, income, age, gender, and geography?</t>
  </si>
  <si>
    <t>*Does your city disaggregate air pollution, environmental, health, and economic data by multiple demographics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</si>
  <si>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</si>
  <si>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</si>
  <si>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</si>
  <si>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health risks from air pollution explicitly modeled for multiple demographics, and do these risks consider non-chemical stressors?</t>
  </si>
  <si>
    <t>*Are baseline population and health outcome incidence data available?</t>
  </si>
  <si>
    <t>*Are analyses stratified by socio-demographic groups to assess whether vulnerable populations benefit equally from interventions?</t>
  </si>
  <si>
    <t>*Do evaluations attempt to assess whether health and economic disparities among marginalized groups (compared to groups who are not marginalized) from air pollution and air quality policies are narrowing or widening over time?</t>
  </si>
  <si>
    <t>*Are policy-based scenarios evaluated for distributional fairness (who benefits most/least)?</t>
  </si>
  <si>
    <t>*Are health and equity outcomes among marginalized, vulnerable, or particularly susceptible groups (children, elderly, people with chronic illness) explicitly quantified?</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</si>
  <si>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</si>
  <si>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</si>
  <si>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 xml:space="preserve">*Does your city have programs or policies to ensure that community members from marginalized, vulnerable, or disproportionately exposed areas are engaged in decisionmaking about how to interpret and analyze air pollution data from your city? </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</si>
  <si>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</si>
  <si>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</si>
  <si>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</si>
  <si>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</si>
  <si>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local community members and business leaders actively engaged in decision-making regarding data sources, data use, and data analyses,  not just consulted after the fact?</t>
  </si>
  <si>
    <t>*Are stakeholders within the government able to access and distribute quality-assured air quality data?</t>
  </si>
  <si>
    <t>v112025</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</si>
  <si>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[2]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Other questions will help add nuance for EQuiPD to understand your city's policy and data ecosystem and are highly recommended to answer.</t>
    </r>
  </si>
  <si>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</si>
  <si>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</si>
  <si>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</si>
  <si>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</si>
  <si>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</si>
  <si>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</si>
  <si>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</si>
  <si>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</si>
  <si>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</si>
  <si>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</si>
  <si>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</si>
  <si>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</si>
  <si>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</si>
  <si>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</si>
  <si>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To identify gaps and recommendations begin by filtering by category, domain, and/or equity theme. Use the dropdown arrows in the right-hand columns below and check '1' for the areas you are interested in learning more about.</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</si>
  <si>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</si>
  <si>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</si>
  <si>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</si>
  <si>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</si>
  <si>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</si>
  <si>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</si>
  <si>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</si>
  <si>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</si>
  <si>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</si>
  <si>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</si>
  <si>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</si>
  <si>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</si>
  <si>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</si>
  <si>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</si>
  <si>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</si>
  <si>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</si>
  <si>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</si>
  <si>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</si>
  <si>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</si>
  <si>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</si>
  <si>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</si>
  <si>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</si>
  <si>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</si>
  <si>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</si>
  <si>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</si>
  <si>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</si>
  <si>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</si>
  <si>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</si>
  <si>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</si>
  <si>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</si>
  <si>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</si>
  <si>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</si>
  <si>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</si>
  <si>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</si>
  <si>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</si>
  <si>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</si>
  <si>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</si>
  <si>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</si>
  <si>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</si>
  <si>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</si>
  <si>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</si>
  <si>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</si>
  <si>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</si>
  <si>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</si>
  <si>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</si>
  <si>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</si>
  <si>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</si>
  <si>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</si>
  <si>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</si>
  <si>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</si>
  <si>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</si>
  <si>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</si>
  <si>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</si>
  <si>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</si>
  <si>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</si>
  <si>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</si>
  <si>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</si>
  <si>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</si>
  <si>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</si>
  <si>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</si>
  <si>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</si>
  <si>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</si>
  <si>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</si>
  <si>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</si>
  <si>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</si>
  <si>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</si>
  <si>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</si>
  <si>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</si>
  <si>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</si>
  <si>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</si>
  <si>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</si>
  <si>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</si>
  <si>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</si>
  <si>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</si>
  <si>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</si>
  <si>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</si>
  <si>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</si>
  <si>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</si>
  <si>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</si>
  <si>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</si>
  <si>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</si>
  <si>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</si>
  <si>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</si>
  <si>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</si>
  <si>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</si>
  <si>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</si>
  <si>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</si>
  <si>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</si>
  <si>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</si>
  <si>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</si>
  <si>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</si>
  <si>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v260116</t>
  </si>
  <si>
    <t>United Arab Emirates - Dubai</t>
  </si>
  <si>
    <t>11/26/2025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</si>
</sst>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s>
  <borders count="2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71">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0" fontId="13" fillId="3" borderId="0" xfId="0" applyFont="1" applyFill="1" applyAlignment="1">
      <alignment horizontal="left" vertical="top" wrapText="1"/>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0" fontId="13" fillId="3" borderId="0" xfId="0" applyFont="1" applyFill="1" applyAlignment="1">
      <alignment wrapText="1"/>
    </xf>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8" fillId="3" borderId="0" xfId="1"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15" fillId="3" borderId="0" xfId="0" applyFont="1" applyFill="1" applyAlignment="1">
      <alignment vertical="top"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6" fillId="3" borderId="0" xfId="0" applyFont="1" applyFill="1" applyAlignment="1">
      <alignment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6" xfId="0" applyFont="1" applyFill="1" applyBorder="1" applyAlignment="1">
      <alignmen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3" borderId="16" xfId="0" applyFont="1" applyFill="1" applyBorder="1" applyAlignment="1">
      <alignment horizontal="center" vertical="top" wrapText="1"/>
    </xf>
    <xf numFmtId="0" fontId="19" fillId="5" borderId="17" xfId="0" applyFont="1" applyFill="1" applyBorder="1" applyAlignment="1">
      <alignment horizontal="center" vertical="top" wrapText="1"/>
    </xf>
    <xf numFmtId="0" fontId="19" fillId="3" borderId="18"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19"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27" fillId="3" borderId="20" xfId="1" applyFont="1" applyFill="1" applyBorder="1" applyAlignment="1">
      <alignment horizontal="left"/>
    </xf>
    <xf numFmtId="0" fontId="8" fillId="3" borderId="0" xfId="1" applyFont="1" applyFill="1" applyBorder="1" applyAlignment="1">
      <alignment horizontal="left"/>
    </xf>
    <xf numFmtId="0" fontId="8" fillId="3" borderId="0" xfId="1" applyFont="1" applyFill="1" applyBorder="1"/>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0.61538461538461542</c:v>
                </c:pt>
                <c:pt idx="1">
                  <c:v>0.5</c:v>
                </c:pt>
                <c:pt idx="2">
                  <c:v>0.33333333333333331</c:v>
                </c:pt>
                <c:pt idx="3">
                  <c:v>0.25</c:v>
                </c:pt>
                <c:pt idx="4">
                  <c:v>1.1666666666666667</c:v>
                </c:pt>
                <c:pt idx="5">
                  <c:v>1.375</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0.7142857142857143</c:v>
                </c:pt>
                <c:pt idx="1">
                  <c:v>0.25</c:v>
                </c:pt>
                <c:pt idx="2">
                  <c:v>0.75</c:v>
                </c:pt>
                <c:pt idx="3">
                  <c:v>0.17857142857142858</c:v>
                </c:pt>
                <c:pt idx="4">
                  <c:v>0.83333333333333337</c:v>
                </c:pt>
                <c:pt idx="5">
                  <c:v>0.7857142857142857</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1</c:v>
                </c:pt>
                <c:pt idx="1">
                  <c:v>0.9375</c:v>
                </c:pt>
                <c:pt idx="2">
                  <c:v>0.5714285714285714</c:v>
                </c:pt>
                <c:pt idx="3">
                  <c:v>0.9</c:v>
                </c:pt>
                <c:pt idx="4">
                  <c:v>1</c:v>
                </c:pt>
                <c:pt idx="5">
                  <c:v>0.25</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0.44444444444444442</c:v>
                </c:pt>
                <c:pt idx="1">
                  <c:v>0.75</c:v>
                </c:pt>
                <c:pt idx="2">
                  <c:v>0.6</c:v>
                </c:pt>
                <c:pt idx="3">
                  <c:v>0.66666666666666663</c:v>
                </c:pt>
                <c:pt idx="4">
                  <c:v>1.2</c:v>
                </c:pt>
                <c:pt idx="5">
                  <c:v>1.75</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0.75</c:v>
                </c:pt>
                <c:pt idx="1">
                  <c:v>0.66666666666666663</c:v>
                </c:pt>
                <c:pt idx="2">
                  <c:v>0.2</c:v>
                </c:pt>
                <c:pt idx="3">
                  <c:v>0.41176470588235292</c:v>
                </c:pt>
                <c:pt idx="4">
                  <c:v>1.5416666666666667</c:v>
                </c:pt>
                <c:pt idx="5">
                  <c:v>1</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0.75</c:v>
                </c:pt>
                <c:pt idx="1">
                  <c:v>0.625</c:v>
                </c:pt>
                <c:pt idx="2">
                  <c:v>0.6</c:v>
                </c:pt>
                <c:pt idx="3">
                  <c:v>0</c:v>
                </c:pt>
                <c:pt idx="4">
                  <c:v>0.75</c:v>
                </c:pt>
                <c:pt idx="5">
                  <c:v>1.9</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0.7857142857142857</c:v>
                </c:pt>
                <c:pt idx="1">
                  <c:v>0.625</c:v>
                </c:pt>
                <c:pt idx="2">
                  <c:v>0.72222222222222221</c:v>
                </c:pt>
                <c:pt idx="3">
                  <c:v>0.22222222222222221</c:v>
                </c:pt>
                <c:pt idx="4">
                  <c:v>0.75</c:v>
                </c:pt>
                <c:pt idx="5">
                  <c:v>0.8</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106734</xdr:colOff>
      <xdr:row>0</xdr:row>
      <xdr:rowOff>175523</xdr:rowOff>
    </xdr:from>
    <xdr:to>
      <xdr:col>19</xdr:col>
      <xdr:colOff>67658</xdr:colOff>
      <xdr:row>2</xdr:row>
      <xdr:rowOff>849600</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8094089" y="175523"/>
          <a:ext cx="3109685" cy="10519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xdr:from>
      <xdr:col>7</xdr:col>
      <xdr:colOff>126273</xdr:colOff>
      <xdr:row>19</xdr:row>
      <xdr:rowOff>114163</xdr:rowOff>
    </xdr:from>
    <xdr:to>
      <xdr:col>19</xdr:col>
      <xdr:colOff>87197</xdr:colOff>
      <xdr:row>26</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editAs="oneCell">
    <xdr:from>
      <xdr:col>2</xdr:col>
      <xdr:colOff>2117696</xdr:colOff>
      <xdr:row>4</xdr:row>
      <xdr:rowOff>106145</xdr:rowOff>
    </xdr:from>
    <xdr:to>
      <xdr:col>4</xdr:col>
      <xdr:colOff>1129849</xdr:colOff>
      <xdr:row>4</xdr:row>
      <xdr:rowOff>3144759</xdr:rowOff>
    </xdr:to>
    <xdr:pic>
      <xdr:nvPicPr>
        <xdr:cNvPr id="5" name="Picture 4">
          <a:extLst>
            <a:ext uri="{FF2B5EF4-FFF2-40B4-BE49-F238E27FC236}">
              <a16:creationId xmlns:a16="http://schemas.microsoft.com/office/drawing/2014/main" id="{59EF3CD3-952C-F67C-6910-08237B7208EC}"/>
            </a:ext>
          </a:extLst>
        </xdr:cNvPr>
        <xdr:cNvPicPr>
          <a:picLocks noChangeAspect="1"/>
        </xdr:cNvPicPr>
      </xdr:nvPicPr>
      <xdr:blipFill>
        <a:blip xmlns:r="http://schemas.openxmlformats.org/officeDocument/2006/relationships" r:embed="rId1"/>
        <a:stretch>
          <a:fillRect/>
        </a:stretch>
      </xdr:blipFill>
      <xdr:spPr>
        <a:xfrm>
          <a:off x="2498696" y="1655545"/>
          <a:ext cx="5489153" cy="30386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469581</xdr:colOff>
      <xdr:row>5</xdr:row>
      <xdr:rowOff>53362</xdr:rowOff>
    </xdr:from>
    <xdr:to>
      <xdr:col>4</xdr:col>
      <xdr:colOff>3030925</xdr:colOff>
      <xdr:row>6</xdr:row>
      <xdr:rowOff>2924202</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909245" y="1611513"/>
          <a:ext cx="2561344" cy="3617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dimension ref="A1:T122"/>
  <sheetViews>
    <sheetView tabSelected="1" topLeftCell="A7" zoomScaleNormal="100" zoomScaleSheetLayoutView="63" workbookViewId="0">
      <selection activeCell="D25" sqref="D25"/>
    </sheetView>
  </sheetViews>
  <sheetFormatPr baseColWidth="10" defaultColWidth="0" defaultRowHeight="16" zeroHeight="1"/>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425</v>
      </c>
      <c r="G1" s="2"/>
      <c r="H1" s="8" t="s">
        <v>15</v>
      </c>
      <c r="I1" s="9" t="s">
        <v>16</v>
      </c>
      <c r="J1" s="9" t="s">
        <v>17</v>
      </c>
      <c r="K1" s="9" t="s">
        <v>18</v>
      </c>
      <c r="L1" s="9" t="s">
        <v>19</v>
      </c>
      <c r="M1" s="10" t="s">
        <v>20</v>
      </c>
      <c r="N1" s="9" t="s">
        <v>23</v>
      </c>
      <c r="O1" s="9" t="s">
        <v>24</v>
      </c>
      <c r="P1" s="9" t="s">
        <v>25</v>
      </c>
      <c r="Q1" s="10" t="s">
        <v>26</v>
      </c>
      <c r="R1" s="9" t="s">
        <v>28</v>
      </c>
      <c r="S1" s="9" t="s">
        <v>29</v>
      </c>
      <c r="T1" s="10" t="s">
        <v>30</v>
      </c>
    </row>
    <row r="2" spans="1:20" ht="15" customHeight="1" thickBot="1">
      <c r="A2" s="112" t="s">
        <v>426</v>
      </c>
      <c r="B2" s="38"/>
      <c r="C2" s="37"/>
      <c r="D2" s="37"/>
      <c r="E2" s="37"/>
      <c r="F2" s="41"/>
      <c r="H2" s="11"/>
      <c r="I2" s="12"/>
      <c r="J2" s="12"/>
      <c r="K2" s="12"/>
      <c r="L2" s="12"/>
      <c r="M2" s="13"/>
      <c r="N2" s="12"/>
      <c r="O2" s="12"/>
      <c r="P2" s="12"/>
      <c r="Q2" s="13"/>
      <c r="R2" s="12"/>
      <c r="S2" s="12"/>
      <c r="T2" s="13"/>
    </row>
    <row r="3" spans="1:20" ht="73" customHeight="1" thickBot="1">
      <c r="B3" s="39"/>
      <c r="C3" s="157" t="s">
        <v>1</v>
      </c>
      <c r="D3" s="158"/>
      <c r="E3" s="159"/>
      <c r="F3" s="42"/>
      <c r="H3" s="11"/>
      <c r="I3" s="12"/>
      <c r="J3" s="12"/>
      <c r="K3" s="12"/>
      <c r="L3" s="12"/>
      <c r="M3" s="13"/>
      <c r="N3" s="12"/>
      <c r="O3" s="12"/>
      <c r="P3" s="12"/>
      <c r="Q3" s="13"/>
      <c r="R3" s="12"/>
      <c r="S3" s="12"/>
      <c r="T3" s="13"/>
    </row>
    <row r="4" spans="1:20" ht="19">
      <c r="B4" s="39"/>
      <c r="C4" s="160" t="s">
        <v>3</v>
      </c>
      <c r="D4" s="160"/>
      <c r="E4" s="160"/>
      <c r="F4" s="42"/>
      <c r="H4" s="11"/>
      <c r="I4" s="12"/>
      <c r="J4" s="12"/>
      <c r="K4" s="12"/>
      <c r="L4" s="12"/>
      <c r="M4" s="13"/>
      <c r="N4" s="12"/>
      <c r="O4" s="12"/>
      <c r="P4" s="12"/>
      <c r="Q4" s="13"/>
      <c r="R4" s="12"/>
      <c r="S4" s="12"/>
      <c r="T4" s="13"/>
    </row>
    <row r="5" spans="1:20" ht="252" customHeight="1" thickBot="1">
      <c r="B5" s="39"/>
      <c r="C5" s="52"/>
      <c r="D5" s="52"/>
      <c r="E5" s="52"/>
      <c r="F5" s="42"/>
      <c r="H5" s="11"/>
      <c r="I5" s="12"/>
      <c r="J5" s="12"/>
      <c r="K5" s="12"/>
      <c r="L5" s="12"/>
      <c r="M5" s="13"/>
      <c r="N5" s="12"/>
      <c r="O5" s="12"/>
      <c r="P5" s="12"/>
      <c r="Q5" s="13"/>
      <c r="R5" s="12"/>
      <c r="S5" s="12"/>
      <c r="T5" s="13"/>
    </row>
    <row r="6" spans="1:20" ht="21">
      <c r="B6" s="39"/>
      <c r="C6" s="28" t="s">
        <v>2</v>
      </c>
      <c r="D6" s="139"/>
      <c r="E6" s="29"/>
      <c r="F6" s="42"/>
      <c r="H6" s="11"/>
      <c r="I6" s="12"/>
      <c r="J6" s="12"/>
      <c r="K6" s="12"/>
      <c r="L6" s="12"/>
      <c r="M6" s="13"/>
      <c r="N6" s="12"/>
      <c r="O6" s="12"/>
      <c r="P6" s="12"/>
      <c r="Q6" s="13"/>
      <c r="R6" s="12"/>
      <c r="S6" s="12"/>
      <c r="T6" s="13"/>
    </row>
    <row r="7" spans="1:20" ht="140" customHeight="1" thickBot="1">
      <c r="B7" s="39"/>
      <c r="C7" s="145" t="s">
        <v>258</v>
      </c>
      <c r="D7" s="146"/>
      <c r="E7" s="147"/>
      <c r="F7" s="42"/>
      <c r="H7" s="11"/>
      <c r="I7" s="12"/>
      <c r="J7" s="12"/>
      <c r="K7" s="12"/>
      <c r="L7" s="12"/>
      <c r="M7" s="13"/>
      <c r="N7" s="12"/>
      <c r="O7" s="12"/>
      <c r="P7" s="12"/>
      <c r="Q7" s="13"/>
      <c r="R7" s="12"/>
      <c r="S7" s="12"/>
      <c r="T7" s="13"/>
    </row>
    <row r="8" spans="1:20">
      <c r="B8" s="39"/>
      <c r="C8" s="155" t="s">
        <v>259</v>
      </c>
      <c r="D8" s="155"/>
      <c r="E8" s="131"/>
      <c r="F8" s="42"/>
      <c r="H8" s="11"/>
      <c r="I8" s="12"/>
      <c r="J8" s="12"/>
      <c r="K8" s="12"/>
      <c r="L8" s="12"/>
      <c r="M8" s="13"/>
      <c r="N8" s="12"/>
      <c r="O8" s="12"/>
      <c r="P8" s="12"/>
      <c r="Q8" s="13"/>
      <c r="R8" s="12"/>
      <c r="S8" s="12"/>
      <c r="T8" s="13"/>
    </row>
    <row r="9" spans="1:20" ht="17" thickBot="1">
      <c r="B9" s="39"/>
      <c r="C9" s="52"/>
      <c r="D9" s="52"/>
      <c r="E9" s="52"/>
      <c r="F9" s="42"/>
      <c r="H9" s="11"/>
      <c r="I9" s="12"/>
      <c r="J9" s="12"/>
      <c r="K9" s="12"/>
      <c r="L9" s="12"/>
      <c r="M9" s="13"/>
      <c r="N9" s="12"/>
      <c r="O9" s="12"/>
      <c r="P9" s="12"/>
      <c r="Q9" s="13"/>
      <c r="R9" s="12"/>
      <c r="S9" s="12"/>
      <c r="T9" s="13"/>
    </row>
    <row r="10" spans="1:20" ht="21">
      <c r="B10" s="39"/>
      <c r="C10" s="28" t="s">
        <v>4</v>
      </c>
      <c r="D10" s="139"/>
      <c r="E10" s="29"/>
      <c r="F10" s="42"/>
      <c r="H10" s="11"/>
      <c r="I10" s="12"/>
      <c r="J10" s="12"/>
      <c r="K10" s="12"/>
      <c r="L10" s="12"/>
      <c r="M10" s="13"/>
      <c r="N10" s="12"/>
      <c r="O10" s="12"/>
      <c r="P10" s="12"/>
      <c r="Q10" s="13"/>
      <c r="R10" s="12"/>
      <c r="S10" s="12"/>
      <c r="T10" s="13"/>
    </row>
    <row r="11" spans="1:20" ht="115" customHeight="1">
      <c r="B11" s="39"/>
      <c r="C11" s="148" t="s">
        <v>319</v>
      </c>
      <c r="D11" s="149"/>
      <c r="E11" s="150"/>
      <c r="F11" s="42"/>
      <c r="H11" s="11"/>
      <c r="I11" s="12"/>
      <c r="J11" s="12"/>
      <c r="K11" s="12"/>
      <c r="L11" s="12"/>
      <c r="M11" s="13"/>
      <c r="N11" s="12"/>
      <c r="O11" s="12"/>
      <c r="P11" s="12"/>
      <c r="Q11" s="13"/>
      <c r="R11" s="12"/>
      <c r="S11" s="12"/>
      <c r="T11" s="13"/>
    </row>
    <row r="12" spans="1:20" ht="37" customHeight="1">
      <c r="B12" s="39"/>
      <c r="C12" s="151" t="s">
        <v>13</v>
      </c>
      <c r="D12" s="152"/>
      <c r="E12" s="153"/>
      <c r="F12" s="42"/>
      <c r="H12" s="11"/>
      <c r="I12" s="12"/>
      <c r="J12" s="12"/>
      <c r="K12" s="12"/>
      <c r="L12" s="12"/>
      <c r="M12" s="13"/>
      <c r="N12" s="12"/>
      <c r="O12" s="12"/>
      <c r="P12" s="12"/>
      <c r="Q12" s="13"/>
      <c r="R12" s="12"/>
      <c r="S12" s="12"/>
      <c r="T12" s="13"/>
    </row>
    <row r="13" spans="1:20" ht="21" customHeight="1">
      <c r="B13" s="39"/>
      <c r="C13" s="142" t="s">
        <v>10</v>
      </c>
      <c r="D13" s="143"/>
      <c r="E13" s="144"/>
      <c r="F13" s="42"/>
      <c r="H13" s="11"/>
      <c r="I13" s="12"/>
      <c r="J13" s="12"/>
      <c r="K13" s="12"/>
      <c r="L13" s="12"/>
      <c r="M13" s="13"/>
      <c r="N13" s="12"/>
      <c r="O13" s="12"/>
      <c r="P13" s="12"/>
      <c r="Q13" s="13"/>
      <c r="R13" s="12"/>
      <c r="S13" s="12"/>
      <c r="T13" s="13"/>
    </row>
    <row r="14" spans="1:20" ht="34" customHeight="1">
      <c r="B14" s="39"/>
      <c r="C14" s="142" t="s">
        <v>11</v>
      </c>
      <c r="D14" s="143"/>
      <c r="E14" s="144"/>
      <c r="F14" s="42"/>
      <c r="H14" s="11"/>
      <c r="I14" s="12"/>
      <c r="J14" s="12"/>
      <c r="K14" s="12"/>
      <c r="L14" s="12"/>
      <c r="M14" s="13"/>
      <c r="N14" s="12"/>
      <c r="O14" s="12"/>
      <c r="P14" s="12"/>
      <c r="Q14" s="13"/>
      <c r="R14" s="12"/>
      <c r="S14" s="12"/>
      <c r="T14" s="13"/>
    </row>
    <row r="15" spans="1:20" ht="34" customHeight="1">
      <c r="B15" s="39"/>
      <c r="C15" s="142" t="s">
        <v>12</v>
      </c>
      <c r="D15" s="143"/>
      <c r="E15" s="144"/>
      <c r="F15" s="42"/>
      <c r="H15" s="11"/>
      <c r="I15" s="12"/>
      <c r="J15" s="12"/>
      <c r="K15" s="12"/>
      <c r="L15" s="12"/>
      <c r="M15" s="13"/>
      <c r="N15" s="12"/>
      <c r="O15" s="12"/>
      <c r="P15" s="12"/>
      <c r="Q15" s="13"/>
      <c r="R15" s="12"/>
      <c r="S15" s="12"/>
      <c r="T15" s="13"/>
    </row>
    <row r="16" spans="1:20" ht="34" customHeight="1">
      <c r="B16" s="39"/>
      <c r="C16" s="142" t="s">
        <v>257</v>
      </c>
      <c r="D16" s="143"/>
      <c r="E16" s="144"/>
      <c r="F16" s="42"/>
      <c r="H16" s="11"/>
      <c r="I16" s="12"/>
      <c r="J16" s="12"/>
      <c r="K16" s="12"/>
      <c r="L16" s="12"/>
      <c r="M16" s="13"/>
      <c r="N16" s="12"/>
      <c r="O16" s="12"/>
      <c r="P16" s="12"/>
      <c r="Q16" s="13"/>
      <c r="R16" s="12"/>
      <c r="S16" s="12"/>
      <c r="T16" s="13"/>
    </row>
    <row r="17" spans="2:20" ht="32" customHeight="1" thickBot="1">
      <c r="B17" s="39"/>
      <c r="C17" s="145" t="s">
        <v>358</v>
      </c>
      <c r="D17" s="146"/>
      <c r="E17" s="147"/>
      <c r="F17" s="42"/>
      <c r="H17" s="11"/>
      <c r="I17" s="12"/>
      <c r="J17" s="12"/>
      <c r="K17" s="12"/>
      <c r="L17" s="12"/>
      <c r="M17" s="13"/>
      <c r="N17" s="12"/>
      <c r="O17" s="12"/>
      <c r="P17" s="12"/>
      <c r="Q17" s="13"/>
      <c r="R17" s="12"/>
      <c r="S17" s="12"/>
      <c r="T17" s="13"/>
    </row>
    <row r="18" spans="2:20">
      <c r="B18" s="39"/>
      <c r="C18" s="156" t="s">
        <v>260</v>
      </c>
      <c r="D18" s="156"/>
      <c r="E18" s="132"/>
      <c r="F18" s="42"/>
      <c r="H18" s="11"/>
      <c r="I18" s="12"/>
      <c r="J18" s="12"/>
      <c r="K18" s="12"/>
      <c r="L18" s="12"/>
      <c r="M18" s="13"/>
      <c r="N18" s="12"/>
      <c r="O18" s="12"/>
      <c r="P18" s="12"/>
      <c r="Q18" s="13"/>
      <c r="R18" s="12"/>
      <c r="S18" s="12"/>
      <c r="T18" s="13"/>
    </row>
    <row r="19" spans="2:20">
      <c r="B19" s="39"/>
      <c r="C19" s="155"/>
      <c r="D19" s="155"/>
      <c r="E19" s="131"/>
      <c r="F19" s="42"/>
      <c r="H19" s="11"/>
      <c r="I19" s="12"/>
      <c r="J19" s="12"/>
      <c r="K19" s="12"/>
      <c r="L19" s="12"/>
      <c r="M19" s="13"/>
      <c r="N19" s="12"/>
      <c r="O19" s="12"/>
      <c r="P19" s="12"/>
      <c r="Q19" s="13"/>
      <c r="R19" s="12"/>
      <c r="S19" s="12"/>
      <c r="T19" s="13"/>
    </row>
    <row r="20" spans="2:20">
      <c r="B20" s="39"/>
      <c r="C20" s="20"/>
      <c r="D20" s="20"/>
      <c r="E20" s="20"/>
      <c r="F20" s="42"/>
      <c r="H20" s="14"/>
      <c r="I20" s="15"/>
      <c r="J20" s="12"/>
      <c r="K20" s="12"/>
      <c r="L20" s="12"/>
      <c r="M20" s="13"/>
      <c r="N20" s="15"/>
      <c r="O20" s="12"/>
      <c r="P20" s="12"/>
      <c r="Q20" s="13"/>
      <c r="R20" s="15"/>
      <c r="S20" s="12"/>
      <c r="T20" s="13"/>
    </row>
    <row r="21" spans="2:20" ht="22" thickBot="1">
      <c r="B21" s="39"/>
      <c r="C21" s="33" t="s">
        <v>46</v>
      </c>
      <c r="D21" s="35"/>
      <c r="E21" s="136"/>
      <c r="F21" s="42"/>
      <c r="H21" s="14"/>
      <c r="I21" s="15"/>
      <c r="J21" s="12"/>
      <c r="K21" s="12"/>
      <c r="L21" s="12"/>
      <c r="M21" s="13"/>
      <c r="N21" s="15"/>
      <c r="O21" s="12"/>
      <c r="P21" s="12"/>
      <c r="Q21" s="13"/>
      <c r="R21" s="15"/>
      <c r="S21" s="12"/>
      <c r="T21" s="13"/>
    </row>
    <row r="22" spans="2:20">
      <c r="B22" s="39"/>
      <c r="C22" s="36" t="s">
        <v>60</v>
      </c>
      <c r="D22" s="32" t="s">
        <v>54</v>
      </c>
      <c r="E22" s="137"/>
      <c r="F22" s="42"/>
      <c r="H22" s="14"/>
      <c r="I22" s="15"/>
      <c r="J22" s="12"/>
      <c r="K22" s="12"/>
      <c r="L22" s="12"/>
      <c r="M22" s="13"/>
      <c r="N22" s="15"/>
      <c r="O22" s="12"/>
      <c r="P22" s="12"/>
      <c r="Q22" s="13"/>
      <c r="R22" s="15"/>
      <c r="S22" s="12"/>
      <c r="T22" s="13"/>
    </row>
    <row r="23" spans="2:20">
      <c r="B23" s="40" t="s">
        <v>56</v>
      </c>
      <c r="C23" s="30" t="s">
        <v>215</v>
      </c>
      <c r="D23" s="43" t="s">
        <v>427</v>
      </c>
      <c r="E23" s="137"/>
      <c r="F23" s="42"/>
      <c r="H23" s="14"/>
      <c r="I23" s="15"/>
      <c r="J23" s="12"/>
      <c r="K23" s="12"/>
      <c r="L23" s="12"/>
      <c r="M23" s="13"/>
      <c r="N23" s="15"/>
      <c r="O23" s="12"/>
      <c r="P23" s="12"/>
      <c r="Q23" s="13"/>
      <c r="R23" s="15"/>
      <c r="S23" s="12"/>
      <c r="T23" s="13"/>
    </row>
    <row r="24" spans="2:20">
      <c r="B24" s="40" t="s">
        <v>211</v>
      </c>
      <c r="C24" s="34" t="s">
        <v>214</v>
      </c>
      <c r="D24" s="44"/>
      <c r="E24" s="137"/>
      <c r="F24" s="42"/>
      <c r="H24" s="14"/>
      <c r="I24" s="15"/>
      <c r="J24" s="12"/>
      <c r="K24" s="12"/>
      <c r="L24" s="12"/>
      <c r="M24" s="13"/>
      <c r="N24" s="15"/>
      <c r="O24" s="12"/>
      <c r="P24" s="12"/>
      <c r="Q24" s="13"/>
      <c r="R24" s="15"/>
      <c r="S24" s="12"/>
      <c r="T24" s="13"/>
    </row>
    <row r="25" spans="2:20">
      <c r="B25" s="40" t="s">
        <v>57</v>
      </c>
      <c r="C25" s="30" t="s">
        <v>55</v>
      </c>
      <c r="D25" s="43"/>
      <c r="E25" s="137"/>
      <c r="F25" s="42"/>
      <c r="H25" s="14"/>
      <c r="I25" s="15"/>
      <c r="J25" s="12"/>
      <c r="K25" s="12"/>
      <c r="L25" s="12"/>
      <c r="M25" s="13"/>
      <c r="N25" s="15"/>
      <c r="O25" s="12"/>
      <c r="P25" s="12"/>
      <c r="Q25" s="13"/>
      <c r="R25" s="15"/>
      <c r="S25" s="12"/>
      <c r="T25" s="13"/>
    </row>
    <row r="26" spans="2:20">
      <c r="B26" s="40" t="s">
        <v>335</v>
      </c>
      <c r="C26" s="34" t="s">
        <v>332</v>
      </c>
      <c r="D26" s="141" t="s">
        <v>428</v>
      </c>
      <c r="E26" s="137"/>
      <c r="F26" s="42"/>
      <c r="H26" s="14"/>
      <c r="I26" s="15"/>
      <c r="J26" s="12"/>
      <c r="K26" s="12"/>
      <c r="L26" s="12"/>
      <c r="M26" s="13"/>
      <c r="N26" s="15"/>
      <c r="O26" s="12"/>
      <c r="P26" s="12"/>
      <c r="Q26" s="13"/>
      <c r="R26" s="15"/>
      <c r="S26" s="12"/>
      <c r="T26" s="13"/>
    </row>
    <row r="27" spans="2:20" ht="17" thickBot="1">
      <c r="B27" s="40" t="s">
        <v>58</v>
      </c>
      <c r="C27" s="123" t="s">
        <v>359</v>
      </c>
      <c r="D27" s="124" t="s">
        <v>62</v>
      </c>
      <c r="E27" s="137"/>
      <c r="F27" s="42"/>
      <c r="H27" s="14"/>
      <c r="I27" s="15"/>
      <c r="J27" s="12"/>
      <c r="K27" s="12"/>
      <c r="L27" s="12"/>
      <c r="M27" s="13"/>
      <c r="N27" s="15"/>
      <c r="O27" s="12"/>
      <c r="P27" s="12"/>
      <c r="Q27" s="13"/>
      <c r="R27" s="15"/>
      <c r="S27" s="12"/>
      <c r="T27" s="13"/>
    </row>
    <row r="28" spans="2:20">
      <c r="B28" s="39"/>
      <c r="C28" s="5"/>
      <c r="D28" s="52"/>
      <c r="E28" s="52"/>
      <c r="F28" s="42"/>
      <c r="H28" s="14" t="s">
        <v>21</v>
      </c>
      <c r="I28" s="15"/>
      <c r="J28" s="12"/>
      <c r="K28" s="12"/>
      <c r="L28" s="12"/>
      <c r="M28" s="13"/>
      <c r="N28" s="15" t="s">
        <v>22</v>
      </c>
      <c r="O28" s="12"/>
      <c r="P28" s="12"/>
      <c r="Q28" s="13"/>
      <c r="R28" s="15" t="s">
        <v>27</v>
      </c>
      <c r="S28" s="12"/>
      <c r="T28" s="13"/>
    </row>
    <row r="29" spans="2:20">
      <c r="B29" s="107">
        <v>0</v>
      </c>
      <c r="C29" s="31" t="s">
        <v>61</v>
      </c>
      <c r="D29" s="32" t="s">
        <v>40</v>
      </c>
      <c r="E29" s="118" t="s">
        <v>425</v>
      </c>
      <c r="F29" s="42"/>
      <c r="H29" s="8" t="s">
        <v>15</v>
      </c>
      <c r="I29" s="9" t="s">
        <v>16</v>
      </c>
      <c r="J29" s="9" t="s">
        <v>17</v>
      </c>
      <c r="K29" s="9" t="s">
        <v>18</v>
      </c>
      <c r="L29" s="9" t="s">
        <v>19</v>
      </c>
      <c r="M29" s="10" t="s">
        <v>20</v>
      </c>
      <c r="N29" s="9" t="s">
        <v>23</v>
      </c>
      <c r="O29" s="9" t="s">
        <v>24</v>
      </c>
      <c r="P29" s="9" t="s">
        <v>25</v>
      </c>
      <c r="Q29" s="10" t="s">
        <v>26</v>
      </c>
      <c r="R29" s="9" t="s">
        <v>28</v>
      </c>
      <c r="S29" s="9" t="s">
        <v>29</v>
      </c>
      <c r="T29" s="10" t="s">
        <v>30</v>
      </c>
    </row>
    <row r="30" spans="2:20" ht="64">
      <c r="B30" s="61">
        <f>B29+1</f>
        <v>1</v>
      </c>
      <c r="C30" s="57" t="s">
        <v>272</v>
      </c>
      <c r="D30" s="84">
        <v>1</v>
      </c>
      <c r="E30" s="84"/>
      <c r="F30" s="42"/>
      <c r="L30" s="9">
        <v>1</v>
      </c>
      <c r="P30" s="9">
        <v>1</v>
      </c>
      <c r="R30" s="9">
        <v>1</v>
      </c>
    </row>
    <row r="31" spans="2:20" ht="112">
      <c r="B31" s="61">
        <f t="shared" ref="B31:B54" si="0">B30+1</f>
        <v>2</v>
      </c>
      <c r="C31" s="58" t="s">
        <v>218</v>
      </c>
      <c r="D31" s="85">
        <v>1</v>
      </c>
      <c r="E31" s="85"/>
      <c r="F31" s="42"/>
      <c r="H31" s="8">
        <v>1</v>
      </c>
      <c r="L31" s="9">
        <v>1</v>
      </c>
      <c r="Q31" s="10">
        <v>1</v>
      </c>
      <c r="T31" s="10">
        <v>1</v>
      </c>
    </row>
    <row r="32" spans="2:20" ht="96">
      <c r="B32" s="61">
        <f t="shared" si="0"/>
        <v>3</v>
      </c>
      <c r="C32" s="57" t="s">
        <v>219</v>
      </c>
      <c r="D32" s="84">
        <v>1</v>
      </c>
      <c r="E32" s="84"/>
      <c r="F32" s="42"/>
      <c r="H32" s="8">
        <v>1</v>
      </c>
      <c r="L32" s="9">
        <v>1</v>
      </c>
      <c r="M32" s="10">
        <v>1</v>
      </c>
      <c r="Q32" s="10">
        <v>1</v>
      </c>
      <c r="S32" s="9">
        <v>1</v>
      </c>
      <c r="T32" s="10">
        <v>1</v>
      </c>
    </row>
    <row r="33" spans="2:20" ht="112">
      <c r="B33" s="61">
        <f t="shared" si="0"/>
        <v>4</v>
      </c>
      <c r="C33" s="58" t="s">
        <v>273</v>
      </c>
      <c r="D33" s="85">
        <v>1.5</v>
      </c>
      <c r="E33" s="85"/>
      <c r="F33" s="42"/>
      <c r="L33" s="9">
        <v>1</v>
      </c>
      <c r="N33" s="9">
        <v>1</v>
      </c>
      <c r="R33" s="9">
        <v>1</v>
      </c>
    </row>
    <row r="34" spans="2:20" ht="48">
      <c r="B34" s="61">
        <f t="shared" si="0"/>
        <v>5</v>
      </c>
      <c r="C34" s="57" t="s">
        <v>274</v>
      </c>
      <c r="D34" s="84">
        <v>3</v>
      </c>
      <c r="E34" s="84"/>
      <c r="F34" s="42"/>
      <c r="M34" s="10">
        <v>1</v>
      </c>
      <c r="N34" s="9">
        <v>1</v>
      </c>
      <c r="R34" s="9">
        <v>1</v>
      </c>
      <c r="S34" s="9">
        <v>1</v>
      </c>
    </row>
    <row r="35" spans="2:20" ht="80">
      <c r="B35" s="61">
        <f t="shared" si="0"/>
        <v>6</v>
      </c>
      <c r="C35" s="58" t="s">
        <v>237</v>
      </c>
      <c r="D35" s="85">
        <v>1</v>
      </c>
      <c r="E35" s="85"/>
      <c r="F35" s="42"/>
      <c r="H35" s="8">
        <v>1</v>
      </c>
      <c r="J35" s="9">
        <v>1</v>
      </c>
      <c r="M35" s="10">
        <v>1</v>
      </c>
      <c r="O35" s="9">
        <v>1</v>
      </c>
      <c r="P35" s="9">
        <v>1</v>
      </c>
      <c r="Q35" s="10">
        <v>1</v>
      </c>
      <c r="R35" s="9">
        <v>1</v>
      </c>
      <c r="S35" s="9">
        <v>1</v>
      </c>
    </row>
    <row r="36" spans="2:20" ht="176">
      <c r="B36" s="61">
        <f t="shared" si="0"/>
        <v>7</v>
      </c>
      <c r="C36" s="57" t="s">
        <v>285</v>
      </c>
      <c r="D36" s="84">
        <v>1</v>
      </c>
      <c r="E36" s="84"/>
      <c r="F36" s="42"/>
      <c r="H36" s="8">
        <v>1</v>
      </c>
      <c r="J36" s="9">
        <v>1</v>
      </c>
      <c r="N36" s="9">
        <v>1</v>
      </c>
      <c r="P36" s="9">
        <v>1</v>
      </c>
      <c r="S36" s="9">
        <v>1</v>
      </c>
      <c r="T36" s="10">
        <v>1</v>
      </c>
    </row>
    <row r="37" spans="2:20" ht="48">
      <c r="B37" s="61">
        <f t="shared" si="0"/>
        <v>8</v>
      </c>
      <c r="C37" s="58" t="s">
        <v>220</v>
      </c>
      <c r="D37" s="85">
        <v>3</v>
      </c>
      <c r="E37" s="85"/>
      <c r="F37" s="42"/>
      <c r="M37" s="10">
        <v>1</v>
      </c>
      <c r="Q37" s="10">
        <v>1</v>
      </c>
      <c r="S37" s="9">
        <v>1</v>
      </c>
    </row>
    <row r="38" spans="2:20" ht="112">
      <c r="B38" s="61">
        <f t="shared" si="0"/>
        <v>9</v>
      </c>
      <c r="C38" s="57" t="s">
        <v>275</v>
      </c>
      <c r="D38" s="84">
        <v>1</v>
      </c>
      <c r="E38" s="84"/>
      <c r="F38" s="42"/>
      <c r="H38" s="8">
        <v>1</v>
      </c>
      <c r="N38" s="9">
        <v>1</v>
      </c>
      <c r="S38" s="9">
        <v>1</v>
      </c>
    </row>
    <row r="39" spans="2:20" ht="48">
      <c r="B39" s="61">
        <f t="shared" si="0"/>
        <v>10</v>
      </c>
      <c r="C39" s="58" t="s">
        <v>236</v>
      </c>
      <c r="D39" s="85">
        <v>1</v>
      </c>
      <c r="E39" s="85"/>
      <c r="F39" s="42"/>
      <c r="L39" s="9">
        <v>1</v>
      </c>
      <c r="N39" s="9">
        <v>1</v>
      </c>
      <c r="T39" s="10">
        <v>1</v>
      </c>
    </row>
    <row r="40" spans="2:20" ht="80">
      <c r="B40" s="61">
        <f t="shared" si="0"/>
        <v>11</v>
      </c>
      <c r="C40" s="57" t="s">
        <v>221</v>
      </c>
      <c r="D40" s="84">
        <v>0</v>
      </c>
      <c r="E40" s="84"/>
      <c r="F40" s="42"/>
      <c r="L40" s="9">
        <v>1</v>
      </c>
      <c r="N40" s="9">
        <v>1</v>
      </c>
      <c r="T40" s="10">
        <v>1</v>
      </c>
    </row>
    <row r="41" spans="2:20" ht="96">
      <c r="B41" s="61">
        <f t="shared" si="0"/>
        <v>12</v>
      </c>
      <c r="C41" s="58" t="s">
        <v>276</v>
      </c>
      <c r="D41" s="85">
        <v>3</v>
      </c>
      <c r="E41" s="85"/>
      <c r="F41" s="42"/>
      <c r="L41" s="9">
        <v>1</v>
      </c>
      <c r="N41" s="9">
        <v>1</v>
      </c>
      <c r="R41" s="9">
        <v>1</v>
      </c>
    </row>
    <row r="42" spans="2:20" ht="96">
      <c r="B42" s="61">
        <f t="shared" si="0"/>
        <v>13</v>
      </c>
      <c r="C42" s="57" t="s">
        <v>277</v>
      </c>
      <c r="D42" s="84">
        <v>0</v>
      </c>
      <c r="E42" s="84"/>
      <c r="F42" s="42"/>
      <c r="J42" s="9">
        <v>1</v>
      </c>
      <c r="O42" s="9">
        <v>1</v>
      </c>
      <c r="T42" s="10">
        <v>1</v>
      </c>
    </row>
    <row r="43" spans="2:20" ht="32">
      <c r="B43" s="61">
        <f t="shared" si="0"/>
        <v>14</v>
      </c>
      <c r="C43" s="58" t="s">
        <v>278</v>
      </c>
      <c r="D43" s="85">
        <v>0</v>
      </c>
      <c r="E43" s="85"/>
      <c r="F43" s="42"/>
      <c r="J43" s="9">
        <v>1</v>
      </c>
      <c r="N43" s="9">
        <v>1</v>
      </c>
      <c r="R43" s="9">
        <v>1</v>
      </c>
      <c r="S43" s="9">
        <v>1</v>
      </c>
    </row>
    <row r="44" spans="2:20" ht="304">
      <c r="B44" s="61">
        <f t="shared" si="0"/>
        <v>15</v>
      </c>
      <c r="C44" s="57" t="s">
        <v>279</v>
      </c>
      <c r="D44" s="84">
        <v>1.5</v>
      </c>
      <c r="E44" s="84"/>
      <c r="F44" s="42"/>
      <c r="H44" s="8">
        <v>1</v>
      </c>
      <c r="K44" s="9">
        <v>1</v>
      </c>
      <c r="N44" s="9">
        <v>1</v>
      </c>
      <c r="P44" s="9">
        <v>1</v>
      </c>
      <c r="R44" s="9">
        <v>1</v>
      </c>
    </row>
    <row r="45" spans="2:20" ht="32">
      <c r="B45" s="61">
        <f t="shared" si="0"/>
        <v>16</v>
      </c>
      <c r="C45" s="58" t="s">
        <v>226</v>
      </c>
      <c r="D45" s="85">
        <v>1</v>
      </c>
      <c r="E45" s="85"/>
      <c r="F45" s="42"/>
      <c r="H45" s="8">
        <v>1</v>
      </c>
      <c r="O45" s="9">
        <v>1</v>
      </c>
      <c r="R45" s="9">
        <v>1</v>
      </c>
    </row>
    <row r="46" spans="2:20" ht="64">
      <c r="B46" s="61">
        <f t="shared" si="0"/>
        <v>17</v>
      </c>
      <c r="C46" s="57" t="s">
        <v>280</v>
      </c>
      <c r="D46" s="84">
        <v>1</v>
      </c>
      <c r="E46" s="84"/>
      <c r="F46" s="42"/>
      <c r="H46" s="8">
        <v>1</v>
      </c>
      <c r="P46" s="9">
        <v>1</v>
      </c>
      <c r="S46" s="9">
        <v>1</v>
      </c>
    </row>
    <row r="47" spans="2:20" ht="32">
      <c r="B47" s="61">
        <f t="shared" si="0"/>
        <v>18</v>
      </c>
      <c r="C47" s="58" t="s">
        <v>222</v>
      </c>
      <c r="D47" s="85">
        <v>0</v>
      </c>
      <c r="E47" s="85"/>
      <c r="F47" s="42"/>
      <c r="K47" s="9">
        <v>1</v>
      </c>
      <c r="N47" s="9">
        <v>1</v>
      </c>
      <c r="S47" s="9">
        <v>1</v>
      </c>
      <c r="T47" s="10">
        <v>1</v>
      </c>
    </row>
    <row r="48" spans="2:20" ht="176">
      <c r="B48" s="61">
        <f t="shared" si="0"/>
        <v>19</v>
      </c>
      <c r="C48" s="57" t="s">
        <v>223</v>
      </c>
      <c r="D48" s="84">
        <v>0</v>
      </c>
      <c r="E48" s="84"/>
      <c r="F48" s="42"/>
      <c r="H48" s="8">
        <v>1</v>
      </c>
      <c r="Q48" s="10">
        <v>1</v>
      </c>
      <c r="T48" s="10">
        <v>1</v>
      </c>
    </row>
    <row r="49" spans="2:20" ht="32">
      <c r="B49" s="61">
        <f t="shared" si="0"/>
        <v>20</v>
      </c>
      <c r="C49" s="58" t="s">
        <v>224</v>
      </c>
      <c r="D49" s="85">
        <v>0</v>
      </c>
      <c r="E49" s="85"/>
      <c r="F49" s="42"/>
      <c r="K49" s="9">
        <v>1</v>
      </c>
      <c r="O49" s="9">
        <v>1</v>
      </c>
      <c r="S49" s="9">
        <v>1</v>
      </c>
    </row>
    <row r="50" spans="2:20" ht="160">
      <c r="B50" s="61">
        <f t="shared" si="0"/>
        <v>21</v>
      </c>
      <c r="C50" s="57" t="s">
        <v>281</v>
      </c>
      <c r="D50" s="84">
        <v>0</v>
      </c>
      <c r="E50" s="84"/>
      <c r="F50" s="42"/>
      <c r="H50" s="8">
        <v>1</v>
      </c>
      <c r="N50" s="9">
        <v>1</v>
      </c>
      <c r="O50" s="9">
        <v>1</v>
      </c>
      <c r="S50" s="9">
        <v>1</v>
      </c>
    </row>
    <row r="51" spans="2:20" ht="112">
      <c r="B51" s="61">
        <f t="shared" si="0"/>
        <v>22</v>
      </c>
      <c r="C51" s="58" t="s">
        <v>282</v>
      </c>
      <c r="D51" s="85">
        <v>0</v>
      </c>
      <c r="E51" s="85"/>
      <c r="F51" s="42"/>
      <c r="H51" s="8">
        <v>1</v>
      </c>
      <c r="J51" s="9">
        <v>1</v>
      </c>
      <c r="P51" s="9">
        <v>1</v>
      </c>
      <c r="Q51" s="10">
        <v>1</v>
      </c>
      <c r="T51" s="10">
        <v>1</v>
      </c>
    </row>
    <row r="52" spans="2:20" ht="64">
      <c r="B52" s="61">
        <f t="shared" si="0"/>
        <v>23</v>
      </c>
      <c r="C52" s="57" t="s">
        <v>225</v>
      </c>
      <c r="D52" s="84">
        <v>0</v>
      </c>
      <c r="E52" s="84"/>
      <c r="F52" s="42"/>
      <c r="I52" s="9">
        <v>1</v>
      </c>
      <c r="O52" s="9">
        <v>1</v>
      </c>
      <c r="P52" s="9">
        <v>1</v>
      </c>
      <c r="Q52" s="10">
        <v>1</v>
      </c>
      <c r="R52" s="9">
        <v>1</v>
      </c>
      <c r="S52" s="9">
        <v>1</v>
      </c>
      <c r="T52" s="10">
        <v>1</v>
      </c>
    </row>
    <row r="53" spans="2:20" ht="32">
      <c r="B53" s="61">
        <f t="shared" si="0"/>
        <v>24</v>
      </c>
      <c r="C53" s="58" t="s">
        <v>283</v>
      </c>
      <c r="D53" s="85">
        <v>0</v>
      </c>
      <c r="E53" s="85"/>
      <c r="F53" s="42"/>
      <c r="H53" s="8">
        <v>1</v>
      </c>
      <c r="I53" s="9">
        <v>1</v>
      </c>
      <c r="N53" s="9">
        <v>1</v>
      </c>
      <c r="P53" s="9">
        <v>1</v>
      </c>
      <c r="R53" s="9">
        <v>1</v>
      </c>
      <c r="S53" s="9">
        <v>1</v>
      </c>
      <c r="T53" s="10">
        <v>1</v>
      </c>
    </row>
    <row r="54" spans="2:20" ht="33" thickBot="1">
      <c r="B54" s="61">
        <f t="shared" si="0"/>
        <v>25</v>
      </c>
      <c r="C54" s="60" t="s">
        <v>284</v>
      </c>
      <c r="D54" s="87">
        <v>2</v>
      </c>
      <c r="E54" s="87"/>
      <c r="F54" s="42"/>
      <c r="I54" s="9">
        <v>1</v>
      </c>
      <c r="K54" s="9">
        <v>1</v>
      </c>
      <c r="L54" s="9">
        <v>1</v>
      </c>
      <c r="P54" s="9">
        <v>1</v>
      </c>
      <c r="Q54" s="10">
        <v>1</v>
      </c>
      <c r="R54" s="9">
        <v>1</v>
      </c>
    </row>
    <row r="55" spans="2:20" ht="21">
      <c r="B55" s="62"/>
      <c r="C55" s="55"/>
      <c r="D55" s="56"/>
      <c r="E55" s="56"/>
      <c r="F55" s="42"/>
    </row>
    <row r="56" spans="2:20">
      <c r="B56" s="107">
        <f>B54</f>
        <v>25</v>
      </c>
      <c r="C56" s="31" t="s">
        <v>227</v>
      </c>
      <c r="D56" s="32" t="s">
        <v>40</v>
      </c>
      <c r="E56" s="118" t="s">
        <v>425</v>
      </c>
      <c r="F56" s="42"/>
      <c r="H56" s="8" t="s">
        <v>15</v>
      </c>
      <c r="I56" s="9" t="s">
        <v>16</v>
      </c>
      <c r="J56" s="9" t="s">
        <v>17</v>
      </c>
      <c r="K56" s="9" t="s">
        <v>18</v>
      </c>
      <c r="L56" s="9" t="s">
        <v>19</v>
      </c>
      <c r="M56" s="10" t="s">
        <v>20</v>
      </c>
      <c r="N56" s="9" t="s">
        <v>23</v>
      </c>
      <c r="O56" s="9" t="s">
        <v>24</v>
      </c>
      <c r="P56" s="9" t="s">
        <v>25</v>
      </c>
      <c r="Q56" s="10" t="s">
        <v>26</v>
      </c>
      <c r="R56" s="9" t="s">
        <v>28</v>
      </c>
      <c r="S56" s="9" t="s">
        <v>29</v>
      </c>
      <c r="T56" s="10" t="s">
        <v>30</v>
      </c>
    </row>
    <row r="57" spans="2:20" ht="96">
      <c r="B57" s="61">
        <f>B56+1</f>
        <v>26</v>
      </c>
      <c r="C57" s="57" t="s">
        <v>286</v>
      </c>
      <c r="D57" s="84">
        <v>1</v>
      </c>
      <c r="E57" s="84"/>
      <c r="F57" s="42"/>
      <c r="H57" s="8">
        <v>1</v>
      </c>
      <c r="I57" s="9">
        <v>1</v>
      </c>
      <c r="N57" s="9">
        <v>1</v>
      </c>
      <c r="R57" s="9">
        <v>1</v>
      </c>
    </row>
    <row r="58" spans="2:20" ht="176">
      <c r="B58" s="61">
        <f t="shared" ref="B58:B70" si="1">B57+1</f>
        <v>27</v>
      </c>
      <c r="C58" s="58" t="s">
        <v>287</v>
      </c>
      <c r="D58" s="85">
        <v>1.5</v>
      </c>
      <c r="E58" s="85"/>
      <c r="F58" s="42"/>
      <c r="H58" s="8">
        <v>1</v>
      </c>
      <c r="I58" s="9">
        <v>1</v>
      </c>
      <c r="P58" s="9">
        <v>1</v>
      </c>
      <c r="T58" s="10">
        <v>1</v>
      </c>
    </row>
    <row r="59" spans="2:20" ht="96">
      <c r="B59" s="61">
        <f t="shared" si="1"/>
        <v>28</v>
      </c>
      <c r="C59" s="57" t="s">
        <v>288</v>
      </c>
      <c r="D59" s="84">
        <v>2</v>
      </c>
      <c r="E59" s="84"/>
      <c r="F59" s="42"/>
      <c r="H59" s="8">
        <v>1</v>
      </c>
      <c r="I59" s="9">
        <v>1</v>
      </c>
      <c r="P59" s="9">
        <v>1</v>
      </c>
      <c r="R59" s="9">
        <v>1</v>
      </c>
      <c r="T59" s="10">
        <v>1</v>
      </c>
    </row>
    <row r="60" spans="2:20" ht="112">
      <c r="B60" s="61">
        <f t="shared" si="1"/>
        <v>29</v>
      </c>
      <c r="C60" s="58" t="s">
        <v>289</v>
      </c>
      <c r="D60" s="85">
        <v>1</v>
      </c>
      <c r="E60" s="85"/>
      <c r="F60" s="42"/>
      <c r="H60" s="8">
        <v>1</v>
      </c>
      <c r="I60" s="9">
        <v>1</v>
      </c>
      <c r="P60" s="9">
        <v>1</v>
      </c>
      <c r="R60" s="9">
        <v>1</v>
      </c>
      <c r="S60" s="9">
        <v>1</v>
      </c>
      <c r="T60" s="10">
        <v>1</v>
      </c>
    </row>
    <row r="61" spans="2:20" ht="80">
      <c r="B61" s="61">
        <f t="shared" si="1"/>
        <v>30</v>
      </c>
      <c r="C61" s="57" t="s">
        <v>228</v>
      </c>
      <c r="D61" s="84">
        <v>1.5</v>
      </c>
      <c r="E61" s="84"/>
      <c r="F61" s="42"/>
      <c r="K61" s="9">
        <v>1</v>
      </c>
      <c r="L61" s="9">
        <v>1</v>
      </c>
      <c r="O61" s="9">
        <v>1</v>
      </c>
      <c r="R61" s="9">
        <v>1</v>
      </c>
    </row>
    <row r="62" spans="2:20" ht="112">
      <c r="B62" s="61">
        <f t="shared" si="1"/>
        <v>31</v>
      </c>
      <c r="C62" s="58" t="s">
        <v>290</v>
      </c>
      <c r="D62" s="85">
        <v>1.5</v>
      </c>
      <c r="E62" s="85"/>
      <c r="F62" s="42"/>
      <c r="L62" s="9">
        <v>1</v>
      </c>
      <c r="N62" s="9">
        <v>1</v>
      </c>
      <c r="R62" s="9">
        <v>1</v>
      </c>
    </row>
    <row r="63" spans="2:20" ht="80">
      <c r="B63" s="61">
        <f t="shared" si="1"/>
        <v>32</v>
      </c>
      <c r="C63" s="57" t="s">
        <v>254</v>
      </c>
      <c r="D63" s="84">
        <v>2</v>
      </c>
      <c r="E63" s="84"/>
      <c r="F63" s="42"/>
      <c r="L63" s="9">
        <v>1</v>
      </c>
      <c r="N63" s="9">
        <v>1</v>
      </c>
      <c r="R63" s="9">
        <v>1</v>
      </c>
    </row>
    <row r="64" spans="2:20" ht="64">
      <c r="B64" s="61">
        <f t="shared" si="1"/>
        <v>33</v>
      </c>
      <c r="C64" s="58" t="s">
        <v>229</v>
      </c>
      <c r="D64" s="85">
        <v>2</v>
      </c>
      <c r="E64" s="85"/>
      <c r="F64" s="42"/>
      <c r="L64" s="9">
        <v>1</v>
      </c>
      <c r="N64" s="9">
        <v>1</v>
      </c>
      <c r="R64" s="9">
        <v>1</v>
      </c>
    </row>
    <row r="65" spans="2:20" ht="32">
      <c r="B65" s="61">
        <f t="shared" si="1"/>
        <v>34</v>
      </c>
      <c r="C65" s="57" t="s">
        <v>230</v>
      </c>
      <c r="D65" s="84">
        <v>2</v>
      </c>
      <c r="E65" s="84"/>
      <c r="F65" s="42"/>
      <c r="H65" s="8">
        <v>1</v>
      </c>
      <c r="L65" s="9">
        <v>1</v>
      </c>
      <c r="O65" s="9">
        <v>1</v>
      </c>
      <c r="R65" s="9">
        <v>1</v>
      </c>
    </row>
    <row r="66" spans="2:20" ht="32">
      <c r="B66" s="61">
        <f t="shared" si="1"/>
        <v>35</v>
      </c>
      <c r="C66" s="58" t="s">
        <v>231</v>
      </c>
      <c r="D66" s="85">
        <v>1</v>
      </c>
      <c r="E66" s="85"/>
      <c r="F66" s="42"/>
      <c r="I66" s="9">
        <v>1</v>
      </c>
      <c r="J66" s="9">
        <v>1</v>
      </c>
      <c r="L66" s="9">
        <v>1</v>
      </c>
      <c r="N66" s="9">
        <v>1</v>
      </c>
      <c r="P66" s="9">
        <v>1</v>
      </c>
      <c r="T66" s="10">
        <v>1</v>
      </c>
    </row>
    <row r="67" spans="2:20" ht="32">
      <c r="B67" s="61">
        <f t="shared" si="1"/>
        <v>36</v>
      </c>
      <c r="C67" s="57" t="s">
        <v>232</v>
      </c>
      <c r="D67" s="84">
        <v>0</v>
      </c>
      <c r="E67" s="84"/>
      <c r="F67" s="42"/>
      <c r="I67" s="9">
        <v>1</v>
      </c>
      <c r="N67" s="9">
        <v>1</v>
      </c>
      <c r="R67" s="9">
        <v>1</v>
      </c>
    </row>
    <row r="68" spans="2:20" ht="32">
      <c r="B68" s="61">
        <f t="shared" si="1"/>
        <v>37</v>
      </c>
      <c r="C68" s="58" t="s">
        <v>291</v>
      </c>
      <c r="D68" s="85">
        <v>0</v>
      </c>
      <c r="E68" s="85"/>
      <c r="F68" s="42"/>
      <c r="K68" s="9">
        <v>1</v>
      </c>
      <c r="L68" s="9">
        <v>1</v>
      </c>
      <c r="O68" s="9">
        <v>1</v>
      </c>
      <c r="T68" s="10">
        <v>1</v>
      </c>
    </row>
    <row r="69" spans="2:20" ht="32">
      <c r="B69" s="61">
        <f t="shared" si="1"/>
        <v>38</v>
      </c>
      <c r="C69" s="57" t="s">
        <v>292</v>
      </c>
      <c r="D69" s="84">
        <v>0</v>
      </c>
      <c r="E69" s="84"/>
      <c r="F69" s="42"/>
      <c r="L69" s="9">
        <v>1</v>
      </c>
      <c r="O69" s="9">
        <v>1</v>
      </c>
      <c r="S69" s="9">
        <v>1</v>
      </c>
    </row>
    <row r="70" spans="2:20" ht="80">
      <c r="B70" s="61">
        <f t="shared" si="1"/>
        <v>39</v>
      </c>
      <c r="C70" s="58" t="s">
        <v>235</v>
      </c>
      <c r="D70" s="85">
        <v>1.5</v>
      </c>
      <c r="E70" s="85"/>
      <c r="F70" s="42"/>
      <c r="M70" s="10">
        <v>1</v>
      </c>
      <c r="N70" s="9">
        <v>1</v>
      </c>
      <c r="O70" s="9">
        <v>1</v>
      </c>
      <c r="S70" s="9">
        <v>1</v>
      </c>
    </row>
    <row r="71" spans="2:20" ht="81" thickBot="1">
      <c r="B71" s="61">
        <f>B70+1</f>
        <v>40</v>
      </c>
      <c r="C71" s="60" t="s">
        <v>293</v>
      </c>
      <c r="D71" s="87">
        <v>0</v>
      </c>
      <c r="E71" s="87"/>
      <c r="F71" s="42"/>
      <c r="M71" s="10">
        <v>1</v>
      </c>
      <c r="O71" s="9">
        <v>1</v>
      </c>
      <c r="P71" s="9">
        <v>1</v>
      </c>
      <c r="R71" s="9">
        <v>1</v>
      </c>
    </row>
    <row r="72" spans="2:20" ht="21">
      <c r="B72" s="62"/>
      <c r="C72" s="55"/>
      <c r="D72" s="56"/>
      <c r="E72" s="56"/>
      <c r="F72" s="42"/>
    </row>
    <row r="73" spans="2:20">
      <c r="B73" s="107">
        <f>B71</f>
        <v>40</v>
      </c>
      <c r="C73" s="31" t="s">
        <v>233</v>
      </c>
      <c r="D73" s="32" t="s">
        <v>40</v>
      </c>
      <c r="E73" s="118" t="s">
        <v>425</v>
      </c>
      <c r="F73" s="42"/>
      <c r="H73" s="8" t="s">
        <v>15</v>
      </c>
      <c r="I73" s="9" t="s">
        <v>16</v>
      </c>
      <c r="J73" s="9" t="s">
        <v>17</v>
      </c>
      <c r="K73" s="9" t="s">
        <v>18</v>
      </c>
      <c r="L73" s="9" t="s">
        <v>19</v>
      </c>
      <c r="M73" s="10" t="s">
        <v>20</v>
      </c>
      <c r="N73" s="9" t="s">
        <v>23</v>
      </c>
      <c r="O73" s="9" t="s">
        <v>24</v>
      </c>
      <c r="P73" s="9" t="s">
        <v>25</v>
      </c>
      <c r="Q73" s="10" t="s">
        <v>26</v>
      </c>
      <c r="R73" s="9" t="s">
        <v>28</v>
      </c>
      <c r="S73" s="9" t="s">
        <v>29</v>
      </c>
      <c r="T73" s="10" t="s">
        <v>30</v>
      </c>
    </row>
    <row r="74" spans="2:20" ht="192">
      <c r="B74" s="61">
        <f>B73+1</f>
        <v>41</v>
      </c>
      <c r="C74" s="57" t="s">
        <v>294</v>
      </c>
      <c r="D74" s="84">
        <v>0</v>
      </c>
      <c r="E74" s="84"/>
      <c r="F74" s="42"/>
      <c r="H74" s="8">
        <v>1</v>
      </c>
      <c r="K74" s="9">
        <v>1</v>
      </c>
      <c r="N74" s="9">
        <v>1</v>
      </c>
      <c r="O74" s="9">
        <v>1</v>
      </c>
      <c r="R74" s="9">
        <v>1</v>
      </c>
    </row>
    <row r="75" spans="2:20" ht="128">
      <c r="B75" s="61">
        <f t="shared" ref="B75:B82" si="2">B74+1</f>
        <v>42</v>
      </c>
      <c r="C75" s="58" t="s">
        <v>295</v>
      </c>
      <c r="D75" s="85">
        <v>0</v>
      </c>
      <c r="E75" s="85"/>
      <c r="F75" s="42"/>
      <c r="K75" s="9">
        <v>1</v>
      </c>
      <c r="L75" s="9">
        <v>1</v>
      </c>
      <c r="N75" s="9">
        <v>1</v>
      </c>
      <c r="O75" s="9">
        <v>1</v>
      </c>
      <c r="R75" s="9">
        <v>1</v>
      </c>
    </row>
    <row r="76" spans="2:20" ht="96">
      <c r="B76" s="61">
        <f t="shared" si="2"/>
        <v>43</v>
      </c>
      <c r="C76" s="57" t="s">
        <v>296</v>
      </c>
      <c r="D76" s="84">
        <v>0</v>
      </c>
      <c r="E76" s="84"/>
      <c r="F76" s="42"/>
      <c r="K76" s="9">
        <v>1</v>
      </c>
      <c r="N76" s="9">
        <v>1</v>
      </c>
      <c r="O76" s="9">
        <v>1</v>
      </c>
      <c r="T76" s="10">
        <v>1</v>
      </c>
    </row>
    <row r="77" spans="2:20" ht="48">
      <c r="B77" s="61">
        <f t="shared" si="2"/>
        <v>44</v>
      </c>
      <c r="C77" s="58" t="s">
        <v>297</v>
      </c>
      <c r="D77" s="85">
        <v>0</v>
      </c>
      <c r="E77" s="85"/>
      <c r="F77" s="42"/>
      <c r="K77" s="9">
        <v>1</v>
      </c>
      <c r="N77" s="9">
        <v>1</v>
      </c>
      <c r="O77" s="9">
        <v>1</v>
      </c>
      <c r="S77" s="9">
        <v>1</v>
      </c>
    </row>
    <row r="78" spans="2:20" ht="32">
      <c r="B78" s="61">
        <f t="shared" si="2"/>
        <v>45</v>
      </c>
      <c r="C78" s="57" t="s">
        <v>298</v>
      </c>
      <c r="D78" s="84">
        <v>0</v>
      </c>
      <c r="E78" s="84"/>
      <c r="F78" s="42"/>
      <c r="K78" s="9">
        <v>1</v>
      </c>
      <c r="N78" s="9">
        <v>1</v>
      </c>
      <c r="O78" s="9">
        <v>1</v>
      </c>
      <c r="R78" s="9">
        <v>1</v>
      </c>
    </row>
    <row r="79" spans="2:20" ht="192">
      <c r="B79" s="61">
        <f t="shared" si="2"/>
        <v>46</v>
      </c>
      <c r="C79" s="58" t="s">
        <v>299</v>
      </c>
      <c r="D79" s="85">
        <v>0</v>
      </c>
      <c r="E79" s="85"/>
      <c r="F79" s="42"/>
      <c r="K79" s="9">
        <v>1</v>
      </c>
      <c r="N79" s="9">
        <v>1</v>
      </c>
      <c r="O79" s="9">
        <v>1</v>
      </c>
      <c r="T79" s="10">
        <v>1</v>
      </c>
    </row>
    <row r="80" spans="2:20" ht="48">
      <c r="B80" s="61">
        <f t="shared" si="2"/>
        <v>47</v>
      </c>
      <c r="C80" s="57" t="s">
        <v>255</v>
      </c>
      <c r="D80" s="84">
        <v>0</v>
      </c>
      <c r="E80" s="84"/>
      <c r="F80" s="42"/>
      <c r="J80" s="9">
        <v>1</v>
      </c>
      <c r="L80" s="9">
        <v>1</v>
      </c>
      <c r="M80" s="10">
        <v>1</v>
      </c>
      <c r="N80" s="9">
        <v>1</v>
      </c>
      <c r="O80" s="9">
        <v>1</v>
      </c>
      <c r="P80" s="9">
        <v>1</v>
      </c>
      <c r="T80" s="10">
        <v>1</v>
      </c>
    </row>
    <row r="81" spans="2:20" ht="112">
      <c r="B81" s="61">
        <f t="shared" si="2"/>
        <v>48</v>
      </c>
      <c r="C81" s="58" t="s">
        <v>300</v>
      </c>
      <c r="D81" s="85">
        <v>0</v>
      </c>
      <c r="E81" s="85"/>
      <c r="F81" s="42"/>
      <c r="H81" s="8">
        <v>1</v>
      </c>
      <c r="K81" s="9">
        <v>1</v>
      </c>
      <c r="N81" s="9">
        <v>1</v>
      </c>
      <c r="O81" s="9">
        <v>1</v>
      </c>
      <c r="R81" s="9">
        <v>1</v>
      </c>
    </row>
    <row r="82" spans="2:20" ht="33" thickBot="1">
      <c r="B82" s="61">
        <f t="shared" si="2"/>
        <v>49</v>
      </c>
      <c r="C82" s="60" t="s">
        <v>234</v>
      </c>
      <c r="D82" s="87">
        <v>0</v>
      </c>
      <c r="E82" s="87"/>
      <c r="F82" s="42"/>
      <c r="I82" s="9">
        <v>1</v>
      </c>
      <c r="M82" s="10">
        <v>1</v>
      </c>
      <c r="O82" s="9">
        <v>1</v>
      </c>
      <c r="P82" s="9">
        <v>1</v>
      </c>
      <c r="R82" s="9">
        <v>1</v>
      </c>
      <c r="T82" s="10">
        <v>1</v>
      </c>
    </row>
    <row r="83" spans="2:20" ht="21">
      <c r="B83" s="39"/>
      <c r="C83" s="55"/>
      <c r="D83" s="56"/>
      <c r="E83" s="56"/>
      <c r="F83" s="42"/>
    </row>
    <row r="84" spans="2:20">
      <c r="B84" s="107">
        <f>B82</f>
        <v>49</v>
      </c>
      <c r="C84" s="31" t="s">
        <v>238</v>
      </c>
      <c r="D84" s="32" t="s">
        <v>40</v>
      </c>
      <c r="E84" s="118" t="s">
        <v>425</v>
      </c>
      <c r="F84" s="42"/>
      <c r="H84" s="8" t="s">
        <v>15</v>
      </c>
      <c r="I84" s="9" t="s">
        <v>16</v>
      </c>
      <c r="J84" s="9" t="s">
        <v>17</v>
      </c>
      <c r="K84" s="9" t="s">
        <v>18</v>
      </c>
      <c r="L84" s="9" t="s">
        <v>19</v>
      </c>
      <c r="M84" s="10" t="s">
        <v>20</v>
      </c>
      <c r="N84" s="9" t="s">
        <v>23</v>
      </c>
      <c r="O84" s="9" t="s">
        <v>24</v>
      </c>
      <c r="P84" s="9" t="s">
        <v>25</v>
      </c>
      <c r="Q84" s="10" t="s">
        <v>26</v>
      </c>
      <c r="R84" s="9" t="s">
        <v>28</v>
      </c>
      <c r="S84" s="9" t="s">
        <v>29</v>
      </c>
      <c r="T84" s="10" t="s">
        <v>30</v>
      </c>
    </row>
    <row r="85" spans="2:20" ht="128">
      <c r="B85" s="61">
        <f>B84+1</f>
        <v>50</v>
      </c>
      <c r="C85" s="57" t="s">
        <v>301</v>
      </c>
      <c r="D85" s="84">
        <v>1</v>
      </c>
      <c r="E85" s="84"/>
      <c r="F85" s="42"/>
      <c r="H85" s="8">
        <v>1</v>
      </c>
      <c r="N85" s="9">
        <v>1</v>
      </c>
      <c r="R85" s="9">
        <v>1</v>
      </c>
    </row>
    <row r="86" spans="2:20" ht="96">
      <c r="B86" s="61">
        <f t="shared" ref="B86:B103" si="3">B85+1</f>
        <v>51</v>
      </c>
      <c r="C86" s="58" t="s">
        <v>239</v>
      </c>
      <c r="D86" s="85">
        <v>0</v>
      </c>
      <c r="E86" s="85"/>
      <c r="F86" s="42"/>
      <c r="H86" s="8">
        <v>1</v>
      </c>
      <c r="I86" s="9">
        <v>1</v>
      </c>
      <c r="N86" s="9">
        <v>1</v>
      </c>
      <c r="R86" s="9">
        <v>1</v>
      </c>
    </row>
    <row r="87" spans="2:20" ht="96">
      <c r="B87" s="61">
        <f t="shared" si="3"/>
        <v>52</v>
      </c>
      <c r="C87" s="57" t="s">
        <v>302</v>
      </c>
      <c r="D87" s="84">
        <v>1</v>
      </c>
      <c r="E87" s="84"/>
      <c r="F87" s="42"/>
      <c r="J87" s="9">
        <v>1</v>
      </c>
      <c r="L87" s="9">
        <v>1</v>
      </c>
      <c r="P87" s="9">
        <v>1</v>
      </c>
      <c r="S87" s="9">
        <v>1</v>
      </c>
      <c r="T87" s="10">
        <v>1</v>
      </c>
    </row>
    <row r="88" spans="2:20" ht="32">
      <c r="B88" s="61">
        <f t="shared" si="3"/>
        <v>53</v>
      </c>
      <c r="C88" s="58" t="s">
        <v>303</v>
      </c>
      <c r="D88" s="85">
        <v>0</v>
      </c>
      <c r="E88" s="85"/>
      <c r="F88" s="42"/>
      <c r="K88" s="9">
        <v>1</v>
      </c>
      <c r="O88" s="9">
        <v>1</v>
      </c>
      <c r="R88" s="9">
        <v>1</v>
      </c>
    </row>
    <row r="89" spans="2:20" ht="32">
      <c r="B89" s="61">
        <f t="shared" si="3"/>
        <v>54</v>
      </c>
      <c r="C89" s="57" t="s">
        <v>240</v>
      </c>
      <c r="D89" s="84">
        <v>1</v>
      </c>
      <c r="E89" s="84"/>
      <c r="F89" s="42"/>
      <c r="L89" s="9">
        <v>1</v>
      </c>
      <c r="N89" s="9">
        <v>1</v>
      </c>
      <c r="O89" s="9">
        <v>1</v>
      </c>
      <c r="R89" s="9">
        <v>1</v>
      </c>
      <c r="S89" s="9">
        <v>1</v>
      </c>
      <c r="T89" s="10">
        <v>1</v>
      </c>
    </row>
    <row r="90" spans="2:20" ht="32">
      <c r="B90" s="61">
        <f t="shared" si="3"/>
        <v>55</v>
      </c>
      <c r="C90" s="58" t="s">
        <v>241</v>
      </c>
      <c r="D90" s="85">
        <v>1</v>
      </c>
      <c r="E90" s="85"/>
      <c r="F90" s="42"/>
      <c r="K90" s="9">
        <v>1</v>
      </c>
      <c r="P90" s="9">
        <v>1</v>
      </c>
      <c r="Q90" s="10">
        <v>1</v>
      </c>
      <c r="R90" s="9">
        <v>1</v>
      </c>
    </row>
    <row r="91" spans="2:20" ht="32">
      <c r="B91" s="61">
        <f t="shared" si="3"/>
        <v>56</v>
      </c>
      <c r="C91" s="57" t="s">
        <v>242</v>
      </c>
      <c r="D91" s="84">
        <v>1</v>
      </c>
      <c r="E91" s="84"/>
      <c r="F91" s="42"/>
      <c r="K91" s="9">
        <v>1</v>
      </c>
      <c r="L91" s="9">
        <v>1</v>
      </c>
      <c r="N91" s="9">
        <v>1</v>
      </c>
      <c r="R91" s="9">
        <v>1</v>
      </c>
    </row>
    <row r="92" spans="2:20">
      <c r="B92" s="61">
        <f t="shared" si="3"/>
        <v>57</v>
      </c>
      <c r="C92" s="58" t="s">
        <v>243</v>
      </c>
      <c r="D92" s="85">
        <v>0</v>
      </c>
      <c r="E92" s="85"/>
      <c r="F92" s="42"/>
      <c r="K92" s="9">
        <v>1</v>
      </c>
      <c r="O92" s="9">
        <v>1</v>
      </c>
      <c r="R92" s="9">
        <v>1</v>
      </c>
    </row>
    <row r="93" spans="2:20">
      <c r="B93" s="61">
        <f t="shared" si="3"/>
        <v>58</v>
      </c>
      <c r="C93" s="57" t="s">
        <v>304</v>
      </c>
      <c r="D93" s="84">
        <v>0</v>
      </c>
      <c r="E93" s="84"/>
      <c r="F93" s="42"/>
      <c r="K93" s="9">
        <v>1</v>
      </c>
      <c r="O93" s="9">
        <v>1</v>
      </c>
      <c r="R93" s="9">
        <v>1</v>
      </c>
    </row>
    <row r="94" spans="2:20" ht="32">
      <c r="B94" s="61">
        <f t="shared" si="3"/>
        <v>59</v>
      </c>
      <c r="C94" s="58" t="s">
        <v>305</v>
      </c>
      <c r="D94" s="85">
        <v>0</v>
      </c>
      <c r="E94" s="85"/>
      <c r="F94" s="42"/>
      <c r="K94" s="9">
        <v>1</v>
      </c>
      <c r="N94" s="9">
        <v>1</v>
      </c>
      <c r="T94" s="10">
        <v>1</v>
      </c>
    </row>
    <row r="95" spans="2:20" ht="32">
      <c r="B95" s="61">
        <f t="shared" si="3"/>
        <v>60</v>
      </c>
      <c r="C95" s="57" t="s">
        <v>244</v>
      </c>
      <c r="D95" s="84">
        <v>0</v>
      </c>
      <c r="E95" s="84"/>
      <c r="F95" s="42"/>
      <c r="K95" s="9">
        <v>1</v>
      </c>
      <c r="Q95" s="10">
        <v>1</v>
      </c>
      <c r="R95" s="9">
        <v>1</v>
      </c>
    </row>
    <row r="96" spans="2:20" ht="48">
      <c r="B96" s="61">
        <f t="shared" si="3"/>
        <v>61</v>
      </c>
      <c r="C96" s="58" t="s">
        <v>306</v>
      </c>
      <c r="D96" s="85">
        <v>0</v>
      </c>
      <c r="E96" s="85"/>
      <c r="F96" s="42"/>
      <c r="I96" s="9">
        <v>1</v>
      </c>
      <c r="O96" s="9">
        <v>1</v>
      </c>
      <c r="T96" s="10">
        <v>1</v>
      </c>
    </row>
    <row r="97" spans="2:20" ht="32">
      <c r="B97" s="61">
        <f t="shared" si="3"/>
        <v>62</v>
      </c>
      <c r="C97" s="57" t="s">
        <v>307</v>
      </c>
      <c r="D97" s="84">
        <v>0</v>
      </c>
      <c r="E97" s="84"/>
      <c r="F97" s="42"/>
      <c r="K97" s="9">
        <v>1</v>
      </c>
      <c r="P97" s="9">
        <v>1</v>
      </c>
      <c r="Q97" s="10">
        <v>1</v>
      </c>
      <c r="R97" s="9">
        <v>1</v>
      </c>
      <c r="S97" s="9">
        <v>1</v>
      </c>
      <c r="T97" s="10">
        <v>1</v>
      </c>
    </row>
    <row r="98" spans="2:20" ht="48">
      <c r="B98" s="61">
        <f t="shared" si="3"/>
        <v>63</v>
      </c>
      <c r="C98" s="58" t="s">
        <v>308</v>
      </c>
      <c r="D98" s="85">
        <v>0</v>
      </c>
      <c r="E98" s="85"/>
      <c r="F98" s="42"/>
      <c r="K98" s="9">
        <v>1</v>
      </c>
      <c r="N98" s="9">
        <v>1</v>
      </c>
      <c r="R98" s="9">
        <v>1</v>
      </c>
    </row>
    <row r="99" spans="2:20" ht="48">
      <c r="B99" s="61">
        <f t="shared" si="3"/>
        <v>64</v>
      </c>
      <c r="C99" s="57" t="s">
        <v>309</v>
      </c>
      <c r="D99" s="84">
        <v>0</v>
      </c>
      <c r="E99" s="84"/>
      <c r="F99" s="42"/>
      <c r="J99" s="9">
        <v>1</v>
      </c>
      <c r="K99" s="9">
        <v>1</v>
      </c>
      <c r="N99" s="9">
        <v>1</v>
      </c>
      <c r="P99" s="9">
        <v>1</v>
      </c>
      <c r="R99" s="9">
        <v>1</v>
      </c>
      <c r="S99" s="9">
        <v>1</v>
      </c>
    </row>
    <row r="100" spans="2:20" ht="48">
      <c r="B100" s="61">
        <f t="shared" si="3"/>
        <v>65</v>
      </c>
      <c r="C100" s="58" t="s">
        <v>310</v>
      </c>
      <c r="D100" s="85">
        <v>0</v>
      </c>
      <c r="E100" s="85"/>
      <c r="F100" s="42"/>
      <c r="J100" s="9">
        <v>1</v>
      </c>
      <c r="O100" s="9">
        <v>1</v>
      </c>
      <c r="T100" s="10">
        <v>1</v>
      </c>
    </row>
    <row r="101" spans="2:20" ht="64">
      <c r="B101" s="61">
        <f t="shared" si="3"/>
        <v>66</v>
      </c>
      <c r="C101" s="57" t="s">
        <v>311</v>
      </c>
      <c r="D101" s="84">
        <v>0</v>
      </c>
      <c r="E101" s="84"/>
      <c r="F101" s="42"/>
      <c r="H101" s="8">
        <v>1</v>
      </c>
      <c r="Q101" s="10">
        <v>1</v>
      </c>
      <c r="T101" s="10">
        <v>1</v>
      </c>
    </row>
    <row r="102" spans="2:20" ht="32">
      <c r="B102" s="61">
        <f t="shared" si="3"/>
        <v>67</v>
      </c>
      <c r="C102" s="58" t="s">
        <v>245</v>
      </c>
      <c r="D102" s="85">
        <v>0</v>
      </c>
      <c r="E102" s="85"/>
      <c r="F102" s="42"/>
      <c r="H102" s="8">
        <v>1</v>
      </c>
      <c r="J102" s="9">
        <v>1</v>
      </c>
      <c r="N102" s="9">
        <v>1</v>
      </c>
      <c r="Q102" s="10">
        <v>1</v>
      </c>
      <c r="R102" s="9">
        <v>1</v>
      </c>
    </row>
    <row r="103" spans="2:20" ht="49" thickBot="1">
      <c r="B103" s="61">
        <f t="shared" si="3"/>
        <v>68</v>
      </c>
      <c r="C103" s="60" t="s">
        <v>246</v>
      </c>
      <c r="D103" s="87">
        <v>0</v>
      </c>
      <c r="E103" s="87"/>
      <c r="F103" s="42"/>
      <c r="H103" s="8">
        <v>1</v>
      </c>
      <c r="K103" s="9">
        <v>1</v>
      </c>
      <c r="Q103" s="10">
        <v>1</v>
      </c>
      <c r="R103" s="9">
        <v>1</v>
      </c>
      <c r="T103" s="10">
        <v>1</v>
      </c>
    </row>
    <row r="104" spans="2:20" ht="21">
      <c r="B104" s="39"/>
      <c r="C104" s="55"/>
      <c r="D104" s="56"/>
      <c r="E104" s="56"/>
      <c r="F104" s="42"/>
    </row>
    <row r="105" spans="2:20">
      <c r="B105" s="107">
        <f>B103</f>
        <v>68</v>
      </c>
      <c r="C105" s="31" t="s">
        <v>247</v>
      </c>
      <c r="D105" s="32" t="s">
        <v>40</v>
      </c>
      <c r="E105" s="118" t="s">
        <v>425</v>
      </c>
      <c r="F105" s="42"/>
      <c r="H105" s="8" t="s">
        <v>15</v>
      </c>
      <c r="I105" s="9" t="s">
        <v>16</v>
      </c>
      <c r="J105" s="9" t="s">
        <v>17</v>
      </c>
      <c r="K105" s="9" t="s">
        <v>18</v>
      </c>
      <c r="L105" s="9" t="s">
        <v>19</v>
      </c>
      <c r="M105" s="10" t="s">
        <v>20</v>
      </c>
      <c r="N105" s="9" t="s">
        <v>23</v>
      </c>
      <c r="O105" s="9" t="s">
        <v>24</v>
      </c>
      <c r="P105" s="9" t="s">
        <v>25</v>
      </c>
      <c r="Q105" s="10" t="s">
        <v>26</v>
      </c>
      <c r="R105" s="9" t="s">
        <v>28</v>
      </c>
      <c r="S105" s="9" t="s">
        <v>29</v>
      </c>
      <c r="T105" s="10" t="s">
        <v>30</v>
      </c>
    </row>
    <row r="106" spans="2:20" ht="112">
      <c r="B106" s="63">
        <f>B105+1</f>
        <v>69</v>
      </c>
      <c r="C106" s="57" t="s">
        <v>312</v>
      </c>
      <c r="D106" s="84">
        <v>1</v>
      </c>
      <c r="E106" s="84"/>
      <c r="F106" s="42"/>
      <c r="H106" s="8">
        <v>1</v>
      </c>
      <c r="I106" s="9">
        <v>1</v>
      </c>
      <c r="K106" s="9">
        <v>1</v>
      </c>
      <c r="M106" s="10">
        <v>1</v>
      </c>
      <c r="N106" s="9">
        <v>1</v>
      </c>
      <c r="O106" s="9">
        <v>1</v>
      </c>
      <c r="T106" s="10">
        <v>1</v>
      </c>
    </row>
    <row r="107" spans="2:20" ht="48">
      <c r="B107" s="63">
        <f t="shared" ref="B107:B117" si="4">B106+1</f>
        <v>70</v>
      </c>
      <c r="C107" s="58" t="s">
        <v>313</v>
      </c>
      <c r="D107" s="85">
        <v>2</v>
      </c>
      <c r="E107" s="85"/>
      <c r="F107" s="42"/>
      <c r="J107" s="9">
        <v>1</v>
      </c>
      <c r="L107" s="9">
        <v>1</v>
      </c>
      <c r="M107" s="10">
        <v>1</v>
      </c>
      <c r="O107" s="9">
        <v>1</v>
      </c>
      <c r="Q107" s="10">
        <v>1</v>
      </c>
      <c r="T107" s="10">
        <v>1</v>
      </c>
    </row>
    <row r="108" spans="2:20" ht="96">
      <c r="B108" s="63">
        <f t="shared" si="4"/>
        <v>71</v>
      </c>
      <c r="C108" s="57" t="s">
        <v>314</v>
      </c>
      <c r="D108" s="84">
        <v>1.5</v>
      </c>
      <c r="E108" s="84"/>
      <c r="F108" s="42"/>
      <c r="J108" s="9">
        <v>1</v>
      </c>
      <c r="O108" s="9">
        <v>1</v>
      </c>
      <c r="T108" s="10">
        <v>1</v>
      </c>
    </row>
    <row r="109" spans="2:20" ht="96">
      <c r="B109" s="63">
        <f t="shared" si="4"/>
        <v>72</v>
      </c>
      <c r="C109" s="58" t="s">
        <v>248</v>
      </c>
      <c r="D109" s="85">
        <v>1.5</v>
      </c>
      <c r="E109" s="85"/>
      <c r="F109" s="42"/>
      <c r="H109" s="8">
        <v>1</v>
      </c>
      <c r="N109" s="9">
        <v>1</v>
      </c>
      <c r="T109" s="10">
        <v>1</v>
      </c>
    </row>
    <row r="110" spans="2:20" ht="32">
      <c r="B110" s="63">
        <f t="shared" si="4"/>
        <v>73</v>
      </c>
      <c r="C110" s="57" t="s">
        <v>315</v>
      </c>
      <c r="D110" s="84">
        <v>1</v>
      </c>
      <c r="E110" s="84"/>
      <c r="F110" s="42"/>
      <c r="H110" s="8">
        <v>1</v>
      </c>
      <c r="K110" s="9">
        <v>1</v>
      </c>
      <c r="Q110" s="10">
        <v>1</v>
      </c>
      <c r="T110" s="10">
        <v>1</v>
      </c>
    </row>
    <row r="111" spans="2:20" ht="48">
      <c r="B111" s="63">
        <f t="shared" si="4"/>
        <v>74</v>
      </c>
      <c r="C111" s="58" t="s">
        <v>249</v>
      </c>
      <c r="D111" s="85">
        <v>0</v>
      </c>
      <c r="E111" s="85"/>
      <c r="F111" s="42"/>
      <c r="I111" s="9">
        <v>1</v>
      </c>
      <c r="Q111" s="10">
        <v>1</v>
      </c>
      <c r="T111" s="10">
        <v>1</v>
      </c>
    </row>
    <row r="112" spans="2:20" ht="32">
      <c r="B112" s="63">
        <f t="shared" si="4"/>
        <v>75</v>
      </c>
      <c r="C112" s="57" t="s">
        <v>250</v>
      </c>
      <c r="D112" s="84">
        <v>0</v>
      </c>
      <c r="E112" s="84"/>
      <c r="F112" s="42"/>
      <c r="L112" s="9">
        <v>1</v>
      </c>
      <c r="Q112" s="10">
        <v>1</v>
      </c>
      <c r="T112" s="10">
        <v>1</v>
      </c>
    </row>
    <row r="113" spans="1:20" ht="48">
      <c r="B113" s="63">
        <f t="shared" si="4"/>
        <v>76</v>
      </c>
      <c r="C113" s="58" t="s">
        <v>316</v>
      </c>
      <c r="D113" s="85">
        <v>1.5</v>
      </c>
      <c r="E113" s="85"/>
      <c r="F113" s="42"/>
      <c r="I113" s="9">
        <v>1</v>
      </c>
      <c r="Q113" s="10">
        <v>1</v>
      </c>
      <c r="S113" s="9">
        <v>1</v>
      </c>
    </row>
    <row r="114" spans="1:20" ht="32">
      <c r="B114" s="63">
        <f t="shared" si="4"/>
        <v>77</v>
      </c>
      <c r="C114" s="57" t="s">
        <v>317</v>
      </c>
      <c r="D114" s="84">
        <v>1</v>
      </c>
      <c r="E114" s="84"/>
      <c r="F114" s="42"/>
      <c r="L114" s="9">
        <v>1</v>
      </c>
      <c r="O114" s="9">
        <v>1</v>
      </c>
      <c r="P114" s="9">
        <v>1</v>
      </c>
      <c r="T114" s="10">
        <v>1</v>
      </c>
    </row>
    <row r="115" spans="1:20" ht="48">
      <c r="B115" s="63">
        <f t="shared" si="4"/>
        <v>78</v>
      </c>
      <c r="C115" s="58" t="s">
        <v>251</v>
      </c>
      <c r="D115" s="85">
        <v>1</v>
      </c>
      <c r="E115" s="85"/>
      <c r="F115" s="42"/>
      <c r="I115" s="9">
        <v>1</v>
      </c>
      <c r="Q115" s="10">
        <v>1</v>
      </c>
      <c r="T115" s="10">
        <v>1</v>
      </c>
    </row>
    <row r="116" spans="1:20" ht="80">
      <c r="B116" s="63">
        <f t="shared" si="4"/>
        <v>79</v>
      </c>
      <c r="C116" s="57" t="s">
        <v>271</v>
      </c>
      <c r="D116" s="84">
        <v>0</v>
      </c>
      <c r="E116" s="84"/>
      <c r="F116" s="42"/>
      <c r="J116" s="9">
        <v>1</v>
      </c>
      <c r="Q116" s="10">
        <v>1</v>
      </c>
      <c r="R116" s="9">
        <v>1</v>
      </c>
    </row>
    <row r="117" spans="1:20" ht="49" thickBot="1">
      <c r="B117" s="63">
        <f t="shared" si="4"/>
        <v>80</v>
      </c>
      <c r="C117" s="59" t="s">
        <v>252</v>
      </c>
      <c r="D117" s="86">
        <v>0</v>
      </c>
      <c r="E117" s="86"/>
      <c r="F117" s="42"/>
      <c r="I117" s="9">
        <v>1</v>
      </c>
      <c r="Q117" s="10">
        <v>1</v>
      </c>
      <c r="T117" s="10">
        <v>1</v>
      </c>
    </row>
    <row r="118" spans="1:20">
      <c r="B118" s="64"/>
      <c r="C118" s="154" t="s">
        <v>329</v>
      </c>
      <c r="D118" s="154"/>
      <c r="E118" s="138"/>
      <c r="F118" s="67"/>
    </row>
    <row r="119" spans="1:20" s="12" customFormat="1">
      <c r="A119" s="4"/>
      <c r="C119" s="17"/>
      <c r="D119" s="9"/>
      <c r="E119" s="9"/>
      <c r="G119" s="4"/>
      <c r="H119" s="9"/>
      <c r="I119" s="9"/>
      <c r="J119" s="9"/>
      <c r="K119" s="9"/>
      <c r="L119" s="9"/>
      <c r="M119" s="9"/>
      <c r="N119" s="9"/>
      <c r="O119" s="9"/>
      <c r="P119" s="9"/>
      <c r="Q119" s="9"/>
      <c r="R119" s="9"/>
      <c r="S119" s="9"/>
      <c r="T119" s="9"/>
    </row>
    <row r="120" spans="1:20" hidden="1">
      <c r="B120" s="53"/>
      <c r="F120" s="54"/>
    </row>
    <row r="121" spans="1:20" hidden="1">
      <c r="B121" s="53"/>
      <c r="F121" s="54"/>
    </row>
    <row r="122" spans="1:20" hidden="1">
      <c r="B122" s="53"/>
      <c r="F122" s="54"/>
    </row>
  </sheetData>
  <sheetProtection sheet="1" objects="1" scenarios="1"/>
  <mergeCells count="14">
    <mergeCell ref="C118:D118"/>
    <mergeCell ref="C8:D8"/>
    <mergeCell ref="C18:D18"/>
    <mergeCell ref="C19:D19"/>
    <mergeCell ref="C3:E3"/>
    <mergeCell ref="C4:E4"/>
    <mergeCell ref="C15:E15"/>
    <mergeCell ref="C16:E16"/>
    <mergeCell ref="C17:E17"/>
    <mergeCell ref="C7:E7"/>
    <mergeCell ref="C11:E11"/>
    <mergeCell ref="C12:E12"/>
    <mergeCell ref="C13:E13"/>
    <mergeCell ref="C14:E14"/>
  </mergeCells>
  <dataValidations count="2">
    <dataValidation type="list" allowBlank="1" showInputMessage="1" showErrorMessage="1" sqref="D27:E27" xr:uid="{F5AED12B-0397-E94D-BEE6-2BC9B21F74F7}">
      <formula1>"Yes,No"</formula1>
    </dataValidation>
    <dataValidation type="decimal" allowBlank="1" showInputMessage="1" showErrorMessage="1" sqref="D85:E102 D74:E81 D57:E71 D106:E117 D30:E54" xr:uid="{484BD951-A7F9-384D-A572-56F4432152B5}">
      <formula1>0</formula1>
      <formula2>3</formula2>
    </dataValidation>
  </dataValidations>
  <hyperlinks>
    <hyperlink ref="C8" r:id="rId1" display="(1) https://www.c40knowledgehub.org/s/article/Clean-air-healthy-and-thriving-communities-Opportunities-for-city-leadership" xr:uid="{87BD1F18-C19B-DF49-AC8F-46C34D6579DB}"/>
    <hyperlink ref="C18:D18" location="Definitions!A1" display="(1) Additional descriptions on categories, domains, and themes of equity used throughout this tool" xr:uid="{A16E677C-5101-6245-962F-9455C971A3CE}"/>
    <hyperlink ref="C118:D118" location="Scoring!A1" display="Finished? Visit the 'Scoring' tab to see your results" xr:uid="{33AD16CF-1B09-0E4E-9444-D40CF19897C3}"/>
  </hyperlinks>
  <pageMargins left="0.7" right="0.7" top="0.75" bottom="0.75" header="0.3" footer="0.3"/>
  <pageSetup scale="63" fitToHeight="2" orientation="portrait" horizontalDpi="0" verticalDpi="0"/>
  <rowBreaks count="7" manualBreakCount="7">
    <brk id="19" max="6" man="1"/>
    <brk id="36" max="6" man="1"/>
    <brk id="47" max="6" man="1"/>
    <brk id="58" max="6" man="1"/>
    <brk id="72" max="6" man="1"/>
    <brk id="83" max="5" man="1"/>
    <brk id="104" max="5"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D23:E23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dimension ref="A1:S75"/>
  <sheetViews>
    <sheetView zoomScaleNormal="100" workbookViewId="0"/>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16</v>
      </c>
      <c r="I1" s="9" t="s">
        <v>17</v>
      </c>
      <c r="J1" s="9" t="s">
        <v>18</v>
      </c>
      <c r="K1" s="9" t="s">
        <v>19</v>
      </c>
      <c r="L1" s="10" t="s">
        <v>20</v>
      </c>
      <c r="M1" s="9" t="s">
        <v>23</v>
      </c>
      <c r="N1" s="9" t="s">
        <v>24</v>
      </c>
      <c r="O1" s="9" t="s">
        <v>25</v>
      </c>
      <c r="P1" s="10" t="s">
        <v>26</v>
      </c>
      <c r="Q1" s="9" t="s">
        <v>28</v>
      </c>
      <c r="R1" s="9" t="s">
        <v>29</v>
      </c>
      <c r="S1" s="10" t="s">
        <v>30</v>
      </c>
    </row>
    <row r="2" spans="1:19" s="5" customFormat="1" ht="15" customHeight="1" thickBot="1">
      <c r="A2" s="112"/>
      <c r="B2" s="38"/>
      <c r="C2" s="37"/>
      <c r="D2" s="37"/>
      <c r="E2" s="37"/>
      <c r="F2" s="125"/>
      <c r="G2" s="12"/>
      <c r="H2" s="12"/>
      <c r="I2" s="12"/>
      <c r="J2" s="12"/>
      <c r="K2" s="12"/>
      <c r="L2" s="13"/>
      <c r="M2" s="12"/>
      <c r="N2" s="12"/>
      <c r="O2" s="12"/>
      <c r="P2" s="13"/>
      <c r="Q2" s="12"/>
      <c r="R2" s="12"/>
      <c r="S2" s="13"/>
    </row>
    <row r="3" spans="1:19" s="5" customFormat="1" ht="73" customHeight="1" thickBot="1">
      <c r="A3" s="4"/>
      <c r="B3" s="39"/>
      <c r="C3" s="157" t="s">
        <v>1</v>
      </c>
      <c r="D3" s="158"/>
      <c r="E3" s="159"/>
      <c r="F3" s="126"/>
      <c r="G3" s="12"/>
      <c r="H3" s="12"/>
      <c r="I3" s="12"/>
      <c r="J3" s="12"/>
      <c r="K3" s="12"/>
      <c r="L3" s="13"/>
      <c r="M3" s="12"/>
      <c r="N3" s="12"/>
      <c r="O3" s="12"/>
      <c r="P3" s="13"/>
      <c r="Q3" s="12"/>
      <c r="R3" s="12"/>
      <c r="S3" s="13"/>
    </row>
    <row r="4" spans="1:19" s="5" customFormat="1" ht="19">
      <c r="A4" s="4"/>
      <c r="B4" s="64"/>
      <c r="C4" s="163" t="s">
        <v>333</v>
      </c>
      <c r="D4" s="163"/>
      <c r="E4" s="163"/>
      <c r="F4" s="127"/>
      <c r="G4" s="12"/>
      <c r="H4" s="12"/>
      <c r="I4" s="12"/>
      <c r="J4" s="12"/>
      <c r="K4" s="12"/>
      <c r="L4" s="13"/>
      <c r="M4" s="12"/>
      <c r="N4" s="12"/>
      <c r="O4" s="12"/>
      <c r="P4" s="13"/>
      <c r="Q4" s="12"/>
      <c r="R4" s="12"/>
      <c r="S4" s="13"/>
    </row>
    <row r="5" spans="1:19" s="17" customFormat="1">
      <c r="A5" s="16" t="s">
        <v>0</v>
      </c>
      <c r="B5" s="17" t="str">
        <f>"EQuiPD Self-Assessment Scores: "&amp;IF('Self-Assessment'!$D$23="Not listed",'Self-Assessment'!$D$24,'Self-Assessment'!$D$23)&amp;" "&amp;'Self-Assessment'!D$26</f>
        <v>EQuiPD Self-Assessment Scores: United Arab Emirates - Dubai 11/26/2025</v>
      </c>
      <c r="G5" s="16" t="s">
        <v>0</v>
      </c>
    </row>
    <row r="6" spans="1:19" ht="377" customHeight="1">
      <c r="B6" s="128"/>
      <c r="C6" s="129"/>
      <c r="D6" s="129"/>
      <c r="E6" s="129"/>
      <c r="F6" s="130"/>
    </row>
    <row r="7" spans="1:19" s="17" customFormat="1" ht="16" customHeight="1">
      <c r="A7" s="16" t="s">
        <v>0</v>
      </c>
      <c r="B7" s="17" t="str">
        <f>"EQuiPD Self-Assessment Scores: "&amp;IF('Self-Assessment'!$D$23="Not listed",'Self-Assessment'!$D$24,'Self-Assessment'!$D$23)&amp;" "&amp;'Self-Assessment'!D$26</f>
        <v>EQuiPD Self-Assessment Scores: United Arab Emirates - Dubai 11/26/2025</v>
      </c>
      <c r="E7" s="161" t="s">
        <v>330</v>
      </c>
      <c r="F7" s="161"/>
      <c r="G7" s="16" t="s">
        <v>0</v>
      </c>
    </row>
    <row r="8" spans="1:19" ht="19">
      <c r="B8" s="19" t="s">
        <v>5</v>
      </c>
      <c r="C8" s="20"/>
      <c r="D8" s="20"/>
      <c r="E8" s="20"/>
      <c r="F8" s="20"/>
    </row>
    <row r="9" spans="1:19" ht="96" customHeight="1">
      <c r="B9" s="149" t="s">
        <v>39</v>
      </c>
      <c r="C9" s="149"/>
      <c r="D9" s="149"/>
      <c r="E9" s="149"/>
      <c r="F9" s="149"/>
    </row>
    <row r="10" spans="1:19" ht="16" customHeight="1">
      <c r="B10" s="20"/>
      <c r="C10" s="20"/>
      <c r="D10" s="162" t="s">
        <v>331</v>
      </c>
      <c r="E10" s="162"/>
      <c r="F10" s="162"/>
    </row>
    <row r="11" spans="1:19">
      <c r="B11" s="21"/>
      <c r="C11" s="164" t="s">
        <v>31</v>
      </c>
      <c r="D11" s="164"/>
      <c r="E11" s="164"/>
      <c r="F11" s="22"/>
    </row>
    <row r="12" spans="1:19" ht="32">
      <c r="B12" s="23" t="s">
        <v>22</v>
      </c>
      <c r="C12" s="24" t="s">
        <v>36</v>
      </c>
      <c r="D12" s="24" t="s">
        <v>37</v>
      </c>
      <c r="E12" s="24" t="s">
        <v>38</v>
      </c>
      <c r="F12" s="50" t="s">
        <v>216</v>
      </c>
    </row>
    <row r="13" spans="1:19" ht="33" customHeight="1">
      <c r="B13" s="25" t="s">
        <v>32</v>
      </c>
      <c r="C13" s="47">
        <f>IFERROR(AVERAGEIFS('Self-Assessment'!D$29:D$313,'Self-Assessment'!H$29:H$313,1,'Self-Assessment'!N$29:N$313,1,'Self-Assessment'!R$29:R$313,1),"")</f>
        <v>0.4375</v>
      </c>
      <c r="D13" s="47">
        <f>IFERROR(AVERAGEIFS('Self-Assessment'!D$29:D$313,'Self-Assessment'!H$29:H$313,1,'Self-Assessment'!N$29:N$313,1,'Self-Assessment'!S$29:S$313,1),"")</f>
        <v>0.5</v>
      </c>
      <c r="E13" s="47">
        <f>IFERROR(AVERAGEIFS('Self-Assessment'!D$29:D$313,'Self-Assessment'!H$29:H$313,1,'Self-Assessment'!N$29:N$313,1,'Self-Assessment'!T$29:T$313,1),"")</f>
        <v>0.875</v>
      </c>
      <c r="F13" s="109">
        <f>IFERROR(AVERAGEIFS('Self-Assessment'!D$29:D$313,'Self-Assessment'!H$29:H$313,1,'Self-Assessment'!N$29:N$313,1),"")</f>
        <v>0.61538461538461542</v>
      </c>
    </row>
    <row r="14" spans="1:19" ht="33" customHeight="1">
      <c r="B14" s="26" t="s">
        <v>33</v>
      </c>
      <c r="C14" s="48">
        <f>IFERROR(AVERAGEIFS('Self-Assessment'!D$29:D$313,'Self-Assessment'!H$29:H$313,1,'Self-Assessment'!O$29:O$313,1,'Self-Assessment'!R$29:R$313,1),"")</f>
        <v>0.8</v>
      </c>
      <c r="D14" s="48">
        <f>IFERROR(AVERAGEIFS('Self-Assessment'!D$29:D$313,'Self-Assessment'!H$29:H$313,1,'Self-Assessment'!O$29:O$313,1,'Self-Assessment'!S$29:S$313,1),"")</f>
        <v>0.5</v>
      </c>
      <c r="E14" s="48">
        <f>IFERROR(AVERAGEIFS('Self-Assessment'!D$29:D$313,'Self-Assessment'!H$29:H$313,1,'Self-Assessment'!O$29:O$313,1,'Self-Assessment'!T$29:T$313,1),"")</f>
        <v>1</v>
      </c>
      <c r="F14" s="110">
        <f>IFERROR(AVERAGEIFS('Self-Assessment'!D$29:D$313,'Self-Assessment'!H$29:H$313,1,'Self-Assessment'!O$29:O$313,1),"")</f>
        <v>0.7142857142857143</v>
      </c>
    </row>
    <row r="15" spans="1:19" ht="33" customHeight="1">
      <c r="B15" s="26" t="s">
        <v>34</v>
      </c>
      <c r="C15" s="48">
        <f>IFERROR(AVERAGEIFS('Self-Assessment'!D$29:D$313,'Self-Assessment'!H$29:H$313,1,'Self-Assessment'!P$29:P$313,1,'Self-Assessment'!R$29:R$313,1),"")</f>
        <v>1.1000000000000001</v>
      </c>
      <c r="D15" s="48">
        <f>IFERROR(AVERAGEIFS('Self-Assessment'!D$29:D$313,'Self-Assessment'!H$29:H$313,1,'Self-Assessment'!P$29:P$313,1,'Self-Assessment'!S$29:S$313,1),"")</f>
        <v>0.8</v>
      </c>
      <c r="E15" s="48">
        <f>IFERROR(AVERAGEIFS('Self-Assessment'!D$29:D$313,'Self-Assessment'!H$29:H$313,1,'Self-Assessment'!P$29:P$313,1,'Self-Assessment'!T$29:T$313,1),"")</f>
        <v>0.91666666666666663</v>
      </c>
      <c r="F15" s="110">
        <f>IFERROR(AVERAGEIFS('Self-Assessment'!D$29:D$313,'Self-Assessment'!H$29:H$313,1,'Self-Assessment'!P$29:P$313,1),"")</f>
        <v>1</v>
      </c>
    </row>
    <row r="16" spans="1:19" ht="33" customHeight="1" thickBot="1">
      <c r="B16" s="27" t="s">
        <v>35</v>
      </c>
      <c r="C16" s="49">
        <f>IFERROR(AVERAGEIFS('Self-Assessment'!D$29:D$313,'Self-Assessment'!H$29:H$313,1,'Self-Assessment'!Q$29:Q$313,1,'Self-Assessment'!R$29:R$313,1),"")</f>
        <v>0.33333333333333331</v>
      </c>
      <c r="D16" s="49">
        <f>IFERROR(AVERAGEIFS('Self-Assessment'!D$29:D$313,'Self-Assessment'!H$29:H$313,1,'Self-Assessment'!Q$29:Q$313,1,'Self-Assessment'!S$29:S$313,1),"")</f>
        <v>1</v>
      </c>
      <c r="E16" s="49">
        <f>IFERROR(AVERAGEIFS('Self-Assessment'!D$29:D$313,'Self-Assessment'!H$29:H$313,1,'Self-Assessment'!Q$29:Q$313,1,'Self-Assessment'!T$29:T$313,1),"")</f>
        <v>0.42857142857142855</v>
      </c>
      <c r="F16" s="111">
        <f>IFERROR(AVERAGEIFS('Self-Assessment'!D$29:D$313,'Self-Assessment'!H$29:H$313,1,'Self-Assessment'!Q$29:Q$313,1),"")</f>
        <v>0.44444444444444442</v>
      </c>
    </row>
    <row r="17" spans="2:6" ht="33" customHeight="1" thickTop="1" thickBot="1">
      <c r="B17" s="51" t="s">
        <v>216</v>
      </c>
      <c r="C17" s="110">
        <f>IFERROR(AVERAGEIFS('Self-Assessment'!D$29:D$313,'Self-Assessment'!H$29:H$313,1,'Self-Assessment'!R$29:R$313,1),"")</f>
        <v>0.75</v>
      </c>
      <c r="D17" s="110">
        <f>IFERROR(AVERAGEIFS('Self-Assessment'!D$29:D$313,'Self-Assessment'!H$29:H$313,1,'Self-Assessment'!S$29:S$313,1),"")</f>
        <v>0.75</v>
      </c>
      <c r="E17" s="110">
        <f>IFERROR(AVERAGEIFS('Self-Assessment'!D$29:D$313,'Self-Assessment'!H$29:H$313,1,'Self-Assessment'!T$29:T$313,1),"")</f>
        <v>0.7857142857142857</v>
      </c>
      <c r="F17" s="108">
        <f>IFERROR(AVERAGEIFS('Self-Assessment'!D$29:D$313,'Self-Assessment'!H$29:H$313,1),"")</f>
        <v>0.7592592592592593</v>
      </c>
    </row>
    <row r="18" spans="2:6">
      <c r="B18" s="17"/>
      <c r="C18" s="17"/>
      <c r="D18" s="17"/>
      <c r="E18" s="17"/>
      <c r="F18" s="17"/>
    </row>
    <row r="19" spans="2:6" ht="19">
      <c r="B19" s="19" t="s">
        <v>6</v>
      </c>
      <c r="C19" s="20"/>
      <c r="D19" s="20"/>
      <c r="E19" s="20"/>
      <c r="F19" s="20"/>
    </row>
    <row r="20" spans="2:6" ht="127" customHeight="1">
      <c r="B20" s="149" t="s">
        <v>41</v>
      </c>
      <c r="C20" s="149"/>
      <c r="D20" s="149"/>
      <c r="E20" s="149"/>
      <c r="F20" s="149"/>
    </row>
    <row r="21" spans="2:6">
      <c r="B21" s="20"/>
      <c r="C21" s="20"/>
      <c r="D21" s="20"/>
      <c r="E21" s="20"/>
      <c r="F21" s="20"/>
    </row>
    <row r="22" spans="2:6">
      <c r="B22" s="21"/>
      <c r="C22" s="164" t="s">
        <v>31</v>
      </c>
      <c r="D22" s="164"/>
      <c r="E22" s="164"/>
      <c r="F22" s="22"/>
    </row>
    <row r="23" spans="2:6" ht="32">
      <c r="B23" s="23" t="s">
        <v>22</v>
      </c>
      <c r="C23" s="24" t="s">
        <v>36</v>
      </c>
      <c r="D23" s="24" t="s">
        <v>37</v>
      </c>
      <c r="E23" s="24" t="s">
        <v>38</v>
      </c>
      <c r="F23" s="50" t="s">
        <v>216</v>
      </c>
    </row>
    <row r="24" spans="2:6" ht="33" customHeight="1">
      <c r="B24" s="25" t="s">
        <v>32</v>
      </c>
      <c r="C24" s="47">
        <f>IFERROR(AVERAGEIFS('Self-Assessment'!D$29:D$313,'Self-Assessment'!I$29:I$313,1,'Self-Assessment'!N$29:N$313,1,'Self-Assessment'!R$29:R$313,1),"")</f>
        <v>0.25</v>
      </c>
      <c r="D24" s="47">
        <f>IFERROR(AVERAGEIFS('Self-Assessment'!D$29:D$313,'Self-Assessment'!I$29:I$313,1,'Self-Assessment'!N$29:N$313,1,'Self-Assessment'!S$29:S$313,1),"")</f>
        <v>0</v>
      </c>
      <c r="E24" s="47">
        <f>IFERROR(AVERAGEIFS('Self-Assessment'!D$29:D$313,'Self-Assessment'!I$29:I$313,1,'Self-Assessment'!N$29:N$313,1,'Self-Assessment'!T$29:T$313,1),"")</f>
        <v>0.66666666666666663</v>
      </c>
      <c r="F24" s="109">
        <f>IFERROR(AVERAGEIFS('Self-Assessment'!D$29:D$313,'Self-Assessment'!I$29:I$313,1,'Self-Assessment'!N$29:N$313,1),"")</f>
        <v>0.5</v>
      </c>
    </row>
    <row r="25" spans="2:6" ht="33" customHeight="1">
      <c r="B25" s="26" t="s">
        <v>33</v>
      </c>
      <c r="C25" s="48">
        <f>IFERROR(AVERAGEIFS('Self-Assessment'!D$29:D$313,'Self-Assessment'!I$29:I$313,1,'Self-Assessment'!O$29:O$313,1,'Self-Assessment'!R$29:R$313,1),"")</f>
        <v>0</v>
      </c>
      <c r="D25" s="48">
        <f>IFERROR(AVERAGEIFS('Self-Assessment'!D$29:D$313,'Self-Assessment'!I$29:I$313,1,'Self-Assessment'!O$29:O$313,1,'Self-Assessment'!S$29:S$313,1),"")</f>
        <v>0</v>
      </c>
      <c r="E25" s="48">
        <f>IFERROR(AVERAGEIFS('Self-Assessment'!D$29:D$313,'Self-Assessment'!I$29:I$313,1,'Self-Assessment'!O$29:O$313,1,'Self-Assessment'!T$29:T$313,1),"")</f>
        <v>0.25</v>
      </c>
      <c r="F25" s="110">
        <f>IFERROR(AVERAGEIFS('Self-Assessment'!D$29:D$313,'Self-Assessment'!I$29:I$313,1,'Self-Assessment'!O$29:O$313,1),"")</f>
        <v>0.25</v>
      </c>
    </row>
    <row r="26" spans="2:6" ht="33" customHeight="1">
      <c r="B26" s="26" t="s">
        <v>34</v>
      </c>
      <c r="C26" s="48">
        <f>IFERROR(AVERAGEIFS('Self-Assessment'!D$29:D$313,'Self-Assessment'!I$29:I$313,1,'Self-Assessment'!P$29:P$313,1,'Self-Assessment'!R$29:R$313,1),"")</f>
        <v>0.83333333333333337</v>
      </c>
      <c r="D26" s="48">
        <f>IFERROR(AVERAGEIFS('Self-Assessment'!D$29:D$313,'Self-Assessment'!I$29:I$313,1,'Self-Assessment'!P$29:P$313,1,'Self-Assessment'!S$29:S$313,1),"")</f>
        <v>0.33333333333333331</v>
      </c>
      <c r="E26" s="48">
        <f>IFERROR(AVERAGEIFS('Self-Assessment'!D$29:D$313,'Self-Assessment'!I$29:I$313,1,'Self-Assessment'!P$29:P$313,1,'Self-Assessment'!T$29:T$313,1),"")</f>
        <v>0.7857142857142857</v>
      </c>
      <c r="F26" s="110">
        <f>IFERROR(AVERAGEIFS('Self-Assessment'!D$29:D$313,'Self-Assessment'!I$29:I$313,1,'Self-Assessment'!P$29:P$313,1),"")</f>
        <v>0.9375</v>
      </c>
    </row>
    <row r="27" spans="2:6" ht="33" customHeight="1" thickBot="1">
      <c r="B27" s="27" t="s">
        <v>35</v>
      </c>
      <c r="C27" s="49">
        <f>IFERROR(AVERAGEIFS('Self-Assessment'!D$29:D$313,'Self-Assessment'!I$29:I$313,1,'Self-Assessment'!Q$29:Q$313,1,'Self-Assessment'!R$29:R$313,1),"")</f>
        <v>1</v>
      </c>
      <c r="D27" s="49">
        <f>IFERROR(AVERAGEIFS('Self-Assessment'!D$29:D$313,'Self-Assessment'!I$29:I$313,1,'Self-Assessment'!Q$29:Q$313,1,'Self-Assessment'!S$29:S$313,1),"")</f>
        <v>0.75</v>
      </c>
      <c r="E27" s="49">
        <f>IFERROR(AVERAGEIFS('Self-Assessment'!D$29:D$313,'Self-Assessment'!I$29:I$313,1,'Self-Assessment'!Q$29:Q$313,1,'Self-Assessment'!T$29:T$313,1),"")</f>
        <v>0.25</v>
      </c>
      <c r="F27" s="111">
        <f>IFERROR(AVERAGEIFS('Self-Assessment'!D$29:D$313,'Self-Assessment'!I$29:I$313,1,'Self-Assessment'!Q$29:Q$313,1),"")</f>
        <v>0.75</v>
      </c>
    </row>
    <row r="28" spans="2:6" ht="33" customHeight="1" thickTop="1" thickBot="1">
      <c r="B28" s="51" t="s">
        <v>216</v>
      </c>
      <c r="C28" s="110">
        <f>IFERROR(AVERAGEIFS('Self-Assessment'!D$29:D$313,'Self-Assessment'!I$29:I$313,1,'Self-Assessment'!R$29:R$313,1),"")</f>
        <v>0.66666666666666663</v>
      </c>
      <c r="D28" s="110">
        <f>IFERROR(AVERAGEIFS('Self-Assessment'!D$29:D$313,'Self-Assessment'!I$29:I$313,1,'Self-Assessment'!S$29:S$313,1),"")</f>
        <v>0.625</v>
      </c>
      <c r="E28" s="110">
        <f>IFERROR(AVERAGEIFS('Self-Assessment'!D$29:D$313,'Self-Assessment'!I$29:I$313,1,'Self-Assessment'!T$29:T$313,1),"")</f>
        <v>0.625</v>
      </c>
      <c r="F28" s="108">
        <f>IFERROR(AVERAGEIFS('Self-Assessment'!D$29:D$313,'Self-Assessment'!I$29:I$313,1),"")</f>
        <v>0.70588235294117652</v>
      </c>
    </row>
    <row r="29" spans="2:6">
      <c r="B29" s="17"/>
      <c r="C29" s="17"/>
      <c r="D29" s="17"/>
      <c r="E29" s="17"/>
      <c r="F29" s="17"/>
    </row>
    <row r="30" spans="2:6">
      <c r="B30" s="17" t="str">
        <f>"EQuiPD Self-Assessment Scores: "&amp;IF('Self-Assessment'!$D$23="Not listed",'Self-Assessment'!$D$24,'Self-Assessment'!$D$23)&amp;" "&amp;'Self-Assessment'!D$26</f>
        <v>EQuiPD Self-Assessment Scores: United Arab Emirates - Dubai 11/26/2025</v>
      </c>
      <c r="C30" s="17"/>
      <c r="D30" s="17"/>
      <c r="E30" s="17"/>
      <c r="F30" s="17"/>
    </row>
    <row r="31" spans="2:6" ht="19">
      <c r="B31" s="19" t="s">
        <v>7</v>
      </c>
      <c r="C31" s="20"/>
      <c r="D31" s="20"/>
      <c r="E31" s="20"/>
      <c r="F31" s="20"/>
    </row>
    <row r="32" spans="2:6" ht="155" customHeight="1">
      <c r="B32" s="149" t="s">
        <v>42</v>
      </c>
      <c r="C32" s="149"/>
      <c r="D32" s="149"/>
      <c r="E32" s="149"/>
      <c r="F32" s="149"/>
    </row>
    <row r="33" spans="2:6">
      <c r="B33" s="20"/>
      <c r="C33" s="20"/>
      <c r="D33" s="20"/>
      <c r="E33" s="20"/>
      <c r="F33" s="20"/>
    </row>
    <row r="34" spans="2:6">
      <c r="B34" s="21"/>
      <c r="C34" s="164" t="s">
        <v>31</v>
      </c>
      <c r="D34" s="164"/>
      <c r="E34" s="164"/>
      <c r="F34" s="22"/>
    </row>
    <row r="35" spans="2:6" ht="32">
      <c r="B35" s="23" t="s">
        <v>22</v>
      </c>
      <c r="C35" s="24" t="s">
        <v>36</v>
      </c>
      <c r="D35" s="24" t="s">
        <v>37</v>
      </c>
      <c r="E35" s="24" t="s">
        <v>38</v>
      </c>
      <c r="F35" s="50" t="s">
        <v>216</v>
      </c>
    </row>
    <row r="36" spans="2:6" ht="33" customHeight="1">
      <c r="B36" s="25" t="s">
        <v>32</v>
      </c>
      <c r="C36" s="47">
        <f>IFERROR(AVERAGEIFS('Self-Assessment'!D$29:D$313,'Self-Assessment'!J$29:J$313,1,'Self-Assessment'!N$29:N$313,1,'Self-Assessment'!R$29:R$313,1),"")</f>
        <v>0</v>
      </c>
      <c r="D36" s="47">
        <f>IFERROR(AVERAGEIFS('Self-Assessment'!D$29:D$313,'Self-Assessment'!J$29:J$313,1,'Self-Assessment'!N$29:N$313,1,'Self-Assessment'!S$29:S$313,1),"")</f>
        <v>0.33333333333333331</v>
      </c>
      <c r="E36" s="47">
        <f>IFERROR(AVERAGEIFS('Self-Assessment'!D$29:D$313,'Self-Assessment'!J$29:J$313,1,'Self-Assessment'!N$29:N$313,1,'Self-Assessment'!T$29:T$313,1),"")</f>
        <v>0.66666666666666663</v>
      </c>
      <c r="F36" s="109">
        <f>IFERROR(AVERAGEIFS('Self-Assessment'!D$29:D$313,'Self-Assessment'!J$29:J$313,1,'Self-Assessment'!N$29:N$313,1),"")</f>
        <v>0.33333333333333331</v>
      </c>
    </row>
    <row r="37" spans="2:6" ht="33" customHeight="1">
      <c r="B37" s="26" t="s">
        <v>33</v>
      </c>
      <c r="C37" s="48">
        <f>IFERROR(AVERAGEIFS('Self-Assessment'!D$29:D$313,'Self-Assessment'!J$29:J$313,1,'Self-Assessment'!O$29:O$313,1,'Self-Assessment'!R$29:R$313,1),"")</f>
        <v>1</v>
      </c>
      <c r="D37" s="48">
        <f>IFERROR(AVERAGEIFS('Self-Assessment'!D$29:D$313,'Self-Assessment'!J$29:J$313,1,'Self-Assessment'!O$29:O$313,1,'Self-Assessment'!S$29:S$313,1),"")</f>
        <v>1</v>
      </c>
      <c r="E37" s="48">
        <f>IFERROR(AVERAGEIFS('Self-Assessment'!D$29:D$313,'Self-Assessment'!J$29:J$313,1,'Self-Assessment'!O$29:O$313,1,'Self-Assessment'!T$29:T$313,1),"")</f>
        <v>0.7</v>
      </c>
      <c r="F37" s="110">
        <f>IFERROR(AVERAGEIFS('Self-Assessment'!D$29:D$313,'Self-Assessment'!J$29:J$313,1,'Self-Assessment'!O$29:O$313,1),"")</f>
        <v>0.75</v>
      </c>
    </row>
    <row r="38" spans="2:6" ht="33" customHeight="1">
      <c r="B38" s="26" t="s">
        <v>34</v>
      </c>
      <c r="C38" s="48">
        <f>IFERROR(AVERAGEIFS('Self-Assessment'!D$29:D$313,'Self-Assessment'!J$29:J$313,1,'Self-Assessment'!P$29:P$313,1,'Self-Assessment'!R$29:R$313,1),"")</f>
        <v>0.5</v>
      </c>
      <c r="D38" s="48">
        <f>IFERROR(AVERAGEIFS('Self-Assessment'!D$29:D$313,'Self-Assessment'!J$29:J$313,1,'Self-Assessment'!P$29:P$313,1,'Self-Assessment'!S$29:S$313,1),"")</f>
        <v>0.75</v>
      </c>
      <c r="E38" s="48">
        <f>IFERROR(AVERAGEIFS('Self-Assessment'!D$29:D$313,'Self-Assessment'!J$29:J$313,1,'Self-Assessment'!P$29:P$313,1,'Self-Assessment'!T$29:T$313,1),"")</f>
        <v>0.6</v>
      </c>
      <c r="F38" s="110">
        <f>IFERROR(AVERAGEIFS('Self-Assessment'!D$29:D$313,'Self-Assessment'!J$29:J$313,1,'Self-Assessment'!P$29:P$313,1),"")</f>
        <v>0.5714285714285714</v>
      </c>
    </row>
    <row r="39" spans="2:6" ht="33" customHeight="1" thickBot="1">
      <c r="B39" s="27" t="s">
        <v>35</v>
      </c>
      <c r="C39" s="49">
        <f>IFERROR(AVERAGEIFS('Self-Assessment'!D$29:D$313,'Self-Assessment'!J$29:J$313,1,'Self-Assessment'!Q$29:Q$313,1,'Self-Assessment'!R$29:R$313,1),"")</f>
        <v>0.33333333333333331</v>
      </c>
      <c r="D39" s="49">
        <f>IFERROR(AVERAGEIFS('Self-Assessment'!D$29:D$313,'Self-Assessment'!J$29:J$313,1,'Self-Assessment'!Q$29:Q$313,1,'Self-Assessment'!S$29:S$313,1),"")</f>
        <v>1</v>
      </c>
      <c r="E39" s="49">
        <f>IFERROR(AVERAGEIFS('Self-Assessment'!D$29:D$313,'Self-Assessment'!J$29:J$313,1,'Self-Assessment'!Q$29:Q$313,1,'Self-Assessment'!T$29:T$313,1),"")</f>
        <v>1</v>
      </c>
      <c r="F39" s="111">
        <f>IFERROR(AVERAGEIFS('Self-Assessment'!D$29:D$313,'Self-Assessment'!J$29:J$313,1,'Self-Assessment'!Q$29:Q$313,1),"")</f>
        <v>0.6</v>
      </c>
    </row>
    <row r="40" spans="2:6" ht="33" customHeight="1" thickTop="1" thickBot="1">
      <c r="B40" s="51" t="s">
        <v>216</v>
      </c>
      <c r="C40" s="110">
        <f>IFERROR(AVERAGEIFS('Self-Assessment'!D$29:D$313,'Self-Assessment'!J$29:J$313,1,'Self-Assessment'!R$29:R$313,1),"")</f>
        <v>0.2</v>
      </c>
      <c r="D40" s="110">
        <f>IFERROR(AVERAGEIFS('Self-Assessment'!D$29:D$313,'Self-Assessment'!J$29:J$313,1,'Self-Assessment'!S$29:S$313,1),"")</f>
        <v>0.6</v>
      </c>
      <c r="E40" s="110">
        <f>IFERROR(AVERAGEIFS('Self-Assessment'!D$29:D$313,'Self-Assessment'!J$29:J$313,1,'Self-Assessment'!T$29:T$313,1),"")</f>
        <v>0.72222222222222221</v>
      </c>
      <c r="F40" s="108">
        <f>IFERROR(AVERAGEIFS('Self-Assessment'!D$29:D$313,'Self-Assessment'!J$29:J$313,1),"")</f>
        <v>0.5357142857142857</v>
      </c>
    </row>
    <row r="41" spans="2:6">
      <c r="B41" s="17"/>
      <c r="C41" s="17"/>
      <c r="D41" s="17"/>
      <c r="E41" s="17"/>
      <c r="F41" s="17"/>
    </row>
    <row r="42" spans="2:6" ht="19">
      <c r="B42" s="19" t="s">
        <v>63</v>
      </c>
      <c r="C42" s="20"/>
      <c r="D42" s="20"/>
      <c r="E42" s="20"/>
      <c r="F42" s="20"/>
    </row>
    <row r="43" spans="2:6" ht="156" customHeight="1">
      <c r="B43" s="149" t="s">
        <v>45</v>
      </c>
      <c r="C43" s="149"/>
      <c r="D43" s="149"/>
      <c r="E43" s="149"/>
      <c r="F43" s="149"/>
    </row>
    <row r="44" spans="2:6">
      <c r="B44" s="20"/>
      <c r="C44" s="20"/>
      <c r="D44" s="20"/>
      <c r="E44" s="20"/>
      <c r="F44" s="20"/>
    </row>
    <row r="45" spans="2:6">
      <c r="B45" s="21"/>
      <c r="C45" s="164" t="s">
        <v>31</v>
      </c>
      <c r="D45" s="164"/>
      <c r="E45" s="164"/>
      <c r="F45" s="22"/>
    </row>
    <row r="46" spans="2:6" ht="32">
      <c r="B46" s="23" t="s">
        <v>22</v>
      </c>
      <c r="C46" s="24" t="s">
        <v>36</v>
      </c>
      <c r="D46" s="24" t="s">
        <v>37</v>
      </c>
      <c r="E46" s="24" t="s">
        <v>38</v>
      </c>
      <c r="F46" s="50" t="s">
        <v>216</v>
      </c>
    </row>
    <row r="47" spans="2:6" ht="33" customHeight="1">
      <c r="B47" s="25" t="s">
        <v>32</v>
      </c>
      <c r="C47" s="47">
        <f>IFERROR(AVERAGEIFS('Self-Assessment'!D$29:D$313,'Self-Assessment'!K$29:K$313,1,'Self-Assessment'!N$29:N$313,1,'Self-Assessment'!R$29:R$313,1),"")</f>
        <v>0.3125</v>
      </c>
      <c r="D47" s="47">
        <f>IFERROR(AVERAGEIFS('Self-Assessment'!D$29:D$313,'Self-Assessment'!K$29:K$313,1,'Self-Assessment'!N$29:N$313,1,'Self-Assessment'!S$29:S$313,1),"")</f>
        <v>0</v>
      </c>
      <c r="E47" s="47">
        <f>IFERROR(AVERAGEIFS('Self-Assessment'!D$29:D$313,'Self-Assessment'!K$29:K$313,1,'Self-Assessment'!N$29:N$313,1,'Self-Assessment'!T$29:T$313,1),"")</f>
        <v>0.2</v>
      </c>
      <c r="F47" s="109">
        <f>IFERROR(AVERAGEIFS('Self-Assessment'!D$29:D$313,'Self-Assessment'!K$29:K$313,1,'Self-Assessment'!N$29:N$313,1),"")</f>
        <v>0.25</v>
      </c>
    </row>
    <row r="48" spans="2:6" ht="33" customHeight="1">
      <c r="B48" s="26" t="s">
        <v>33</v>
      </c>
      <c r="C48" s="48">
        <f>IFERROR(AVERAGEIFS('Self-Assessment'!D$29:D$313,'Self-Assessment'!K$29:K$313,1,'Self-Assessment'!O$29:O$313,1,'Self-Assessment'!R$29:R$313,1),"")</f>
        <v>0.1875</v>
      </c>
      <c r="D48" s="48">
        <f>IFERROR(AVERAGEIFS('Self-Assessment'!D$29:D$313,'Self-Assessment'!K$29:K$313,1,'Self-Assessment'!O$29:O$313,1,'Self-Assessment'!S$29:S$313,1),"")</f>
        <v>0</v>
      </c>
      <c r="E48" s="48">
        <f>IFERROR(AVERAGEIFS('Self-Assessment'!D$29:D$313,'Self-Assessment'!K$29:K$313,1,'Self-Assessment'!O$29:O$313,1,'Self-Assessment'!T$29:T$313,1),"")</f>
        <v>0.25</v>
      </c>
      <c r="F48" s="110">
        <f>IFERROR(AVERAGEIFS('Self-Assessment'!D$29:D$313,'Self-Assessment'!K$29:K$313,1,'Self-Assessment'!O$29:O$313,1),"")</f>
        <v>0.17857142857142858</v>
      </c>
    </row>
    <row r="49" spans="2:6" ht="33" customHeight="1">
      <c r="B49" s="26" t="s">
        <v>34</v>
      </c>
      <c r="C49" s="48">
        <f>IFERROR(AVERAGEIFS('Self-Assessment'!D$29:D$313,'Self-Assessment'!K$29:K$313,1,'Self-Assessment'!P$29:P$313,1,'Self-Assessment'!R$29:R$313,1),"")</f>
        <v>0.9</v>
      </c>
      <c r="D49" s="48">
        <f>IFERROR(AVERAGEIFS('Self-Assessment'!D$29:D$313,'Self-Assessment'!K$29:K$313,1,'Self-Assessment'!P$29:P$313,1,'Self-Assessment'!S$29:S$313,1),"")</f>
        <v>0</v>
      </c>
      <c r="E49" s="48">
        <f>IFERROR(AVERAGEIFS('Self-Assessment'!D$29:D$313,'Self-Assessment'!K$29:K$313,1,'Self-Assessment'!P$29:P$313,1,'Self-Assessment'!T$29:T$313,1),"")</f>
        <v>0</v>
      </c>
      <c r="F49" s="110">
        <f>IFERROR(AVERAGEIFS('Self-Assessment'!D$29:D$313,'Self-Assessment'!K$29:K$313,1,'Self-Assessment'!P$29:P$313,1),"")</f>
        <v>0.9</v>
      </c>
    </row>
    <row r="50" spans="2:6" ht="33" customHeight="1" thickBot="1">
      <c r="B50" s="27" t="s">
        <v>35</v>
      </c>
      <c r="C50" s="49">
        <f>IFERROR(AVERAGEIFS('Self-Assessment'!D$29:D$313,'Self-Assessment'!K$29:K$313,1,'Self-Assessment'!Q$29:Q$313,1,'Self-Assessment'!R$29:R$313,1),"")</f>
        <v>0.6</v>
      </c>
      <c r="D50" s="49">
        <f>IFERROR(AVERAGEIFS('Self-Assessment'!D$29:D$313,'Self-Assessment'!K$29:K$313,1,'Self-Assessment'!Q$29:Q$313,1,'Self-Assessment'!S$29:S$313,1),"")</f>
        <v>0</v>
      </c>
      <c r="E50" s="49">
        <f>IFERROR(AVERAGEIFS('Self-Assessment'!D$29:D$313,'Self-Assessment'!K$29:K$313,1,'Self-Assessment'!Q$29:Q$313,1,'Self-Assessment'!T$29:T$313,1),"")</f>
        <v>0.33333333333333331</v>
      </c>
      <c r="F50" s="111">
        <f>IFERROR(AVERAGEIFS('Self-Assessment'!D$29:D$313,'Self-Assessment'!K$29:K$313,1,'Self-Assessment'!Q$29:Q$313,1),"")</f>
        <v>0.66666666666666663</v>
      </c>
    </row>
    <row r="51" spans="2:6" ht="33" customHeight="1" thickTop="1" thickBot="1">
      <c r="B51" s="51" t="s">
        <v>216</v>
      </c>
      <c r="C51" s="110">
        <f>IFERROR(AVERAGEIFS('Self-Assessment'!D$29:D$313,'Self-Assessment'!K$29:K$313,1,'Self-Assessment'!R$29:R$313,1),"")</f>
        <v>0.41176470588235292</v>
      </c>
      <c r="D51" s="110">
        <f>IFERROR(AVERAGEIFS('Self-Assessment'!D$29:D$313,'Self-Assessment'!K$29:K$313,1,'Self-Assessment'!S$29:S$313,1),"")</f>
        <v>0</v>
      </c>
      <c r="E51" s="110">
        <f>IFERROR(AVERAGEIFS('Self-Assessment'!D$29:D$313,'Self-Assessment'!K$29:K$313,1,'Self-Assessment'!T$29:T$313,1),"")</f>
        <v>0.22222222222222221</v>
      </c>
      <c r="F51" s="108">
        <f>IFERROR(AVERAGEIFS('Self-Assessment'!D$29:D$313,'Self-Assessment'!K$29:K$313,1),"")</f>
        <v>0.34615384615384615</v>
      </c>
    </row>
    <row r="52" spans="2:6">
      <c r="B52" s="17"/>
      <c r="C52" s="17"/>
      <c r="D52" s="17"/>
      <c r="E52" s="17"/>
      <c r="F52" s="17"/>
    </row>
    <row r="53" spans="2:6">
      <c r="B53" s="17" t="str">
        <f>"EQuiPD Self-Assessment Scores: "&amp;IF('Self-Assessment'!$D$23="Not listed",'Self-Assessment'!$D$24,'Self-Assessment'!$D$23)&amp;" "&amp;'Self-Assessment'!D$26</f>
        <v>EQuiPD Self-Assessment Scores: United Arab Emirates - Dubai 11/26/2025</v>
      </c>
      <c r="C53" s="17"/>
      <c r="D53" s="17"/>
      <c r="E53" s="17"/>
      <c r="F53" s="17"/>
    </row>
    <row r="54" spans="2:6" ht="19">
      <c r="B54" s="19" t="s">
        <v>8</v>
      </c>
      <c r="C54" s="20"/>
      <c r="D54" s="20"/>
      <c r="E54" s="20"/>
      <c r="F54" s="20"/>
    </row>
    <row r="55" spans="2:6" ht="156" customHeight="1">
      <c r="B55" s="149" t="s">
        <v>43</v>
      </c>
      <c r="C55" s="149"/>
      <c r="D55" s="149"/>
      <c r="E55" s="149"/>
      <c r="F55" s="149"/>
    </row>
    <row r="56" spans="2:6">
      <c r="B56" s="20"/>
      <c r="C56" s="20"/>
      <c r="D56" s="20"/>
      <c r="E56" s="20"/>
      <c r="F56" s="20"/>
    </row>
    <row r="57" spans="2:6">
      <c r="B57" s="21"/>
      <c r="C57" s="164" t="s">
        <v>31</v>
      </c>
      <c r="D57" s="164"/>
      <c r="E57" s="164"/>
      <c r="F57" s="22"/>
    </row>
    <row r="58" spans="2:6" ht="32">
      <c r="B58" s="23" t="s">
        <v>22</v>
      </c>
      <c r="C58" s="24" t="s">
        <v>36</v>
      </c>
      <c r="D58" s="24" t="s">
        <v>37</v>
      </c>
      <c r="E58" s="24" t="s">
        <v>38</v>
      </c>
      <c r="F58" s="50" t="s">
        <v>216</v>
      </c>
    </row>
    <row r="59" spans="2:6" ht="33" customHeight="1">
      <c r="B59" s="25" t="s">
        <v>32</v>
      </c>
      <c r="C59" s="47">
        <f>IFERROR(AVERAGEIFS('Self-Assessment'!D$29:D$313,'Self-Assessment'!L$29:L$313,1,'Self-Assessment'!N$29:N$313,1,'Self-Assessment'!R$29:R$313,1),"")</f>
        <v>1.5</v>
      </c>
      <c r="D59" s="47">
        <f>IFERROR(AVERAGEIFS('Self-Assessment'!D$29:D$313,'Self-Assessment'!L$29:L$313,1,'Self-Assessment'!N$29:N$313,1,'Self-Assessment'!S$29:S$313,1),"")</f>
        <v>1</v>
      </c>
      <c r="E59" s="47">
        <f>IFERROR(AVERAGEIFS('Self-Assessment'!D$29:D$313,'Self-Assessment'!L$29:L$313,1,'Self-Assessment'!N$29:N$313,1,'Self-Assessment'!T$29:T$313,1),"")</f>
        <v>0.6</v>
      </c>
      <c r="F59" s="109">
        <f>IFERROR(AVERAGEIFS('Self-Assessment'!D$29:D$313,'Self-Assessment'!L$29:L$313,1,'Self-Assessment'!N$29:N$313,1),"")</f>
        <v>1.1666666666666667</v>
      </c>
    </row>
    <row r="60" spans="2:6" ht="33" customHeight="1">
      <c r="B60" s="26" t="s">
        <v>33</v>
      </c>
      <c r="C60" s="48">
        <f>IFERROR(AVERAGEIFS('Self-Assessment'!D$29:D$313,'Self-Assessment'!L$29:L$313,1,'Self-Assessment'!O$29:O$313,1,'Self-Assessment'!R$29:R$313,1),"")</f>
        <v>1.125</v>
      </c>
      <c r="D60" s="48">
        <f>IFERROR(AVERAGEIFS('Self-Assessment'!D$29:D$313,'Self-Assessment'!L$29:L$313,1,'Self-Assessment'!O$29:O$313,1,'Self-Assessment'!S$29:S$313,1),"")</f>
        <v>0.5</v>
      </c>
      <c r="E60" s="48">
        <f>IFERROR(AVERAGEIFS('Self-Assessment'!D$29:D$313,'Self-Assessment'!L$29:L$313,1,'Self-Assessment'!O$29:O$313,1,'Self-Assessment'!T$29:T$313,1),"")</f>
        <v>0.8</v>
      </c>
      <c r="F60" s="110">
        <f>IFERROR(AVERAGEIFS('Self-Assessment'!D$29:D$313,'Self-Assessment'!L$29:L$313,1,'Self-Assessment'!O$29:O$313,1),"")</f>
        <v>0.83333333333333337</v>
      </c>
    </row>
    <row r="61" spans="2:6" ht="33" customHeight="1">
      <c r="B61" s="26" t="s">
        <v>34</v>
      </c>
      <c r="C61" s="48">
        <f>IFERROR(AVERAGEIFS('Self-Assessment'!D$29:D$313,'Self-Assessment'!L$29:L$313,1,'Self-Assessment'!P$29:P$313,1,'Self-Assessment'!R$29:R$313,1),"")</f>
        <v>1.5</v>
      </c>
      <c r="D61" s="48">
        <f>IFERROR(AVERAGEIFS('Self-Assessment'!D$29:D$313,'Self-Assessment'!L$29:L$313,1,'Self-Assessment'!P$29:P$313,1,'Self-Assessment'!S$29:S$313,1),"")</f>
        <v>1</v>
      </c>
      <c r="E61" s="48">
        <f>IFERROR(AVERAGEIFS('Self-Assessment'!D$29:D$313,'Self-Assessment'!L$29:L$313,1,'Self-Assessment'!P$29:P$313,1,'Self-Assessment'!T$29:T$313,1),"")</f>
        <v>0.75</v>
      </c>
      <c r="F61" s="110">
        <f>IFERROR(AVERAGEIFS('Self-Assessment'!D$29:D$313,'Self-Assessment'!L$29:L$313,1,'Self-Assessment'!P$29:P$313,1),"")</f>
        <v>1</v>
      </c>
    </row>
    <row r="62" spans="2:6" ht="33" customHeight="1" thickBot="1">
      <c r="B62" s="27" t="s">
        <v>35</v>
      </c>
      <c r="C62" s="49">
        <f>IFERROR(AVERAGEIFS('Self-Assessment'!D$29:D$313,'Self-Assessment'!L$29:L$313,1,'Self-Assessment'!Q$29:Q$313,1,'Self-Assessment'!R$29:R$313,1),"")</f>
        <v>2</v>
      </c>
      <c r="D62" s="49">
        <f>IFERROR(AVERAGEIFS('Self-Assessment'!D$29:D$313,'Self-Assessment'!L$29:L$313,1,'Self-Assessment'!Q$29:Q$313,1,'Self-Assessment'!S$29:S$313,1),"")</f>
        <v>1</v>
      </c>
      <c r="E62" s="49">
        <f>IFERROR(AVERAGEIFS('Self-Assessment'!D$29:D$313,'Self-Assessment'!L$29:L$313,1,'Self-Assessment'!Q$29:Q$313,1,'Self-Assessment'!T$29:T$313,1),"")</f>
        <v>1</v>
      </c>
      <c r="F62" s="111">
        <f>IFERROR(AVERAGEIFS('Self-Assessment'!D$29:D$313,'Self-Assessment'!L$29:L$313,1,'Self-Assessment'!Q$29:Q$313,1),"")</f>
        <v>1.2</v>
      </c>
    </row>
    <row r="63" spans="2:6" ht="33" customHeight="1" thickTop="1" thickBot="1">
      <c r="B63" s="51" t="s">
        <v>216</v>
      </c>
      <c r="C63" s="110">
        <f>IFERROR(AVERAGEIFS('Self-Assessment'!D$29:D$313,'Self-Assessment'!L$29:L$313,1,'Self-Assessment'!R$29:R$313,1),"")</f>
        <v>1.5416666666666667</v>
      </c>
      <c r="D63" s="110">
        <f>IFERROR(AVERAGEIFS('Self-Assessment'!D$29:D$313,'Self-Assessment'!L$29:L$313,1,'Self-Assessment'!S$29:S$313,1),"")</f>
        <v>0.75</v>
      </c>
      <c r="E63" s="110">
        <f>IFERROR(AVERAGEIFS('Self-Assessment'!D$29:D$313,'Self-Assessment'!L$29:L$313,1,'Self-Assessment'!T$29:T$313,1),"")</f>
        <v>0.75</v>
      </c>
      <c r="F63" s="108">
        <f>IFERROR(AVERAGEIFS('Self-Assessment'!D$29:D$313,'Self-Assessment'!L$29:L$313,1),"")</f>
        <v>1.1041666666666667</v>
      </c>
    </row>
    <row r="64" spans="2:6">
      <c r="B64" s="17"/>
      <c r="C64" s="17"/>
      <c r="D64" s="17"/>
      <c r="E64" s="17"/>
      <c r="F64" s="17"/>
    </row>
    <row r="65" spans="2:6" ht="19">
      <c r="B65" s="19" t="s">
        <v>9</v>
      </c>
      <c r="C65" s="20"/>
      <c r="D65" s="20"/>
      <c r="E65" s="20"/>
      <c r="F65" s="20"/>
    </row>
    <row r="66" spans="2:6" ht="152" customHeight="1">
      <c r="B66" s="149" t="s">
        <v>44</v>
      </c>
      <c r="C66" s="149"/>
      <c r="D66" s="149"/>
      <c r="E66" s="149"/>
      <c r="F66" s="149"/>
    </row>
    <row r="67" spans="2:6">
      <c r="B67" s="20"/>
      <c r="C67" s="20"/>
      <c r="D67" s="20"/>
      <c r="E67" s="20"/>
      <c r="F67" s="20"/>
    </row>
    <row r="68" spans="2:6">
      <c r="B68" s="21"/>
      <c r="C68" s="164" t="s">
        <v>31</v>
      </c>
      <c r="D68" s="164"/>
      <c r="E68" s="164"/>
      <c r="F68" s="22"/>
    </row>
    <row r="69" spans="2:6" ht="32">
      <c r="B69" s="23" t="s">
        <v>22</v>
      </c>
      <c r="C69" s="24" t="s">
        <v>36</v>
      </c>
      <c r="D69" s="24" t="s">
        <v>37</v>
      </c>
      <c r="E69" s="24" t="s">
        <v>38</v>
      </c>
      <c r="F69" s="50" t="s">
        <v>216</v>
      </c>
    </row>
    <row r="70" spans="2:6" ht="33" customHeight="1">
      <c r="B70" s="25" t="s">
        <v>32</v>
      </c>
      <c r="C70" s="47">
        <f>IFERROR(AVERAGEIFS('Self-Assessment'!D$29:D$313,'Self-Assessment'!M$29:M$313,1,'Self-Assessment'!N$29:N$313,1,'Self-Assessment'!R$29:R$313,1),"")</f>
        <v>3</v>
      </c>
      <c r="D70" s="47">
        <f>IFERROR(AVERAGEIFS('Self-Assessment'!D$29:D$313,'Self-Assessment'!M$29:M$313,1,'Self-Assessment'!N$29:N$313,1,'Self-Assessment'!S$29:S$313,1),"")</f>
        <v>2.25</v>
      </c>
      <c r="E70" s="47">
        <f>IFERROR(AVERAGEIFS('Self-Assessment'!D$29:D$313,'Self-Assessment'!M$29:M$313,1,'Self-Assessment'!N$29:N$313,1,'Self-Assessment'!T$29:T$313,1),"")</f>
        <v>0.5</v>
      </c>
      <c r="F70" s="109">
        <f>IFERROR(AVERAGEIFS('Self-Assessment'!D$29:D$313,'Self-Assessment'!M$29:M$313,1,'Self-Assessment'!N$29:N$313,1),"")</f>
        <v>1.375</v>
      </c>
    </row>
    <row r="71" spans="2:6" ht="33" customHeight="1">
      <c r="B71" s="26" t="s">
        <v>33</v>
      </c>
      <c r="C71" s="48">
        <f>IFERROR(AVERAGEIFS('Self-Assessment'!D$29:D$313,'Self-Assessment'!M$29:M$313,1,'Self-Assessment'!O$29:O$313,1,'Self-Assessment'!R$29:R$313,1),"")</f>
        <v>0.33333333333333331</v>
      </c>
      <c r="D71" s="48">
        <f>IFERROR(AVERAGEIFS('Self-Assessment'!D$29:D$313,'Self-Assessment'!M$29:M$313,1,'Self-Assessment'!O$29:O$313,1,'Self-Assessment'!S$29:S$313,1),"")</f>
        <v>1.25</v>
      </c>
      <c r="E71" s="48">
        <f>IFERROR(AVERAGEIFS('Self-Assessment'!D$29:D$313,'Self-Assessment'!M$29:M$313,1,'Self-Assessment'!O$29:O$313,1,'Self-Assessment'!T$29:T$313,1),"")</f>
        <v>0.75</v>
      </c>
      <c r="F71" s="110">
        <f>IFERROR(AVERAGEIFS('Self-Assessment'!D$29:D$313,'Self-Assessment'!M$29:M$313,1,'Self-Assessment'!O$29:O$313,1),"")</f>
        <v>0.7857142857142857</v>
      </c>
    </row>
    <row r="72" spans="2:6" ht="33" customHeight="1">
      <c r="B72" s="26" t="s">
        <v>34</v>
      </c>
      <c r="C72" s="48">
        <f>IFERROR(AVERAGEIFS('Self-Assessment'!D$29:D$313,'Self-Assessment'!M$29:M$313,1,'Self-Assessment'!P$29:P$313,1,'Self-Assessment'!R$29:R$313,1),"")</f>
        <v>0.33333333333333331</v>
      </c>
      <c r="D72" s="48">
        <f>IFERROR(AVERAGEIFS('Self-Assessment'!D$29:D$313,'Self-Assessment'!M$29:M$313,1,'Self-Assessment'!P$29:P$313,1,'Self-Assessment'!S$29:S$313,1),"")</f>
        <v>1</v>
      </c>
      <c r="E72" s="48">
        <f>IFERROR(AVERAGEIFS('Self-Assessment'!D$29:D$313,'Self-Assessment'!M$29:M$313,1,'Self-Assessment'!P$29:P$313,1,'Self-Assessment'!T$29:T$313,1),"")</f>
        <v>0</v>
      </c>
      <c r="F72" s="110">
        <f>IFERROR(AVERAGEIFS('Self-Assessment'!D$29:D$313,'Self-Assessment'!M$29:M$313,1,'Self-Assessment'!P$29:P$313,1),"")</f>
        <v>0.25</v>
      </c>
    </row>
    <row r="73" spans="2:6" ht="33" customHeight="1" thickBot="1">
      <c r="B73" s="27" t="s">
        <v>35</v>
      </c>
      <c r="C73" s="49">
        <f>IFERROR(AVERAGEIFS('Self-Assessment'!D$29:D$313,'Self-Assessment'!M$29:M$313,1,'Self-Assessment'!Q$29:Q$313,1,'Self-Assessment'!R$29:R$313,1),"")</f>
        <v>1</v>
      </c>
      <c r="D73" s="49">
        <f>IFERROR(AVERAGEIFS('Self-Assessment'!D$29:D$313,'Self-Assessment'!M$29:M$313,1,'Self-Assessment'!Q$29:Q$313,1,'Self-Assessment'!S$29:S$313,1),"")</f>
        <v>1.6666666666666667</v>
      </c>
      <c r="E73" s="49">
        <f>IFERROR(AVERAGEIFS('Self-Assessment'!D$29:D$313,'Self-Assessment'!M$29:M$313,1,'Self-Assessment'!Q$29:Q$313,1,'Self-Assessment'!T$29:T$313,1),"")</f>
        <v>1.5</v>
      </c>
      <c r="F73" s="111">
        <f>IFERROR(AVERAGEIFS('Self-Assessment'!D$29:D$313,'Self-Assessment'!M$29:M$313,1,'Self-Assessment'!Q$29:Q$313,1),"")</f>
        <v>1.75</v>
      </c>
    </row>
    <row r="74" spans="2:6" ht="33" customHeight="1" thickTop="1" thickBot="1">
      <c r="B74" s="51" t="s">
        <v>216</v>
      </c>
      <c r="C74" s="110">
        <f>IFERROR(AVERAGEIFS('Self-Assessment'!D$29:D$313,'Self-Assessment'!M$29:M$313,1,'Self-Assessment'!R$29:R$313,1),"")</f>
        <v>1</v>
      </c>
      <c r="D74" s="110">
        <f>IFERROR(AVERAGEIFS('Self-Assessment'!D$29:D$313,'Self-Assessment'!M$29:M$313,1,'Self-Assessment'!S$29:S$313,1),"")</f>
        <v>1.9</v>
      </c>
      <c r="E74" s="110">
        <f>IFERROR(AVERAGEIFS('Self-Assessment'!D$29:D$313,'Self-Assessment'!M$29:M$313,1,'Self-Assessment'!T$29:T$313,1),"")</f>
        <v>0.8</v>
      </c>
      <c r="F74" s="108">
        <f>IFERROR(AVERAGEIFS('Self-Assessment'!D$29:D$313,'Self-Assessment'!M$29:M$313,1),"")</f>
        <v>1.25</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dimension ref="A1:T123"/>
  <sheetViews>
    <sheetView zoomScaleNormal="100" zoomScaleSheetLayoutView="75" workbookViewId="0"/>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320</v>
      </c>
      <c r="G1" s="2"/>
      <c r="H1" s="8"/>
      <c r="I1" s="9"/>
      <c r="J1" s="9"/>
      <c r="K1" s="9"/>
      <c r="L1" s="9"/>
      <c r="M1" s="10"/>
      <c r="N1" s="9"/>
      <c r="O1" s="9"/>
      <c r="P1" s="9"/>
      <c r="Q1" s="10"/>
      <c r="R1" s="9"/>
      <c r="S1" s="9"/>
      <c r="T1" s="10"/>
    </row>
    <row r="2" spans="1:20" ht="15" customHeight="1" thickBot="1">
      <c r="A2" s="112" t="s">
        <v>318</v>
      </c>
      <c r="B2" s="38"/>
      <c r="C2" s="37"/>
      <c r="D2" s="37"/>
      <c r="E2" s="37"/>
      <c r="F2" s="41"/>
      <c r="H2" s="11"/>
      <c r="I2" s="12"/>
      <c r="J2" s="12"/>
      <c r="K2" s="12"/>
      <c r="L2" s="12"/>
      <c r="M2" s="13"/>
      <c r="N2" s="12"/>
      <c r="O2" s="12"/>
      <c r="P2" s="12"/>
      <c r="Q2" s="13"/>
      <c r="R2" s="12"/>
      <c r="S2" s="12"/>
      <c r="T2" s="13"/>
    </row>
    <row r="3" spans="1:20" ht="73" customHeight="1" thickBot="1">
      <c r="B3" s="39"/>
      <c r="C3" s="157" t="s">
        <v>1</v>
      </c>
      <c r="D3" s="158"/>
      <c r="E3" s="159"/>
      <c r="F3" s="42"/>
      <c r="H3" s="11"/>
      <c r="I3" s="12"/>
      <c r="J3" s="12"/>
      <c r="K3" s="12"/>
      <c r="L3" s="12"/>
      <c r="M3" s="13"/>
      <c r="N3" s="12"/>
      <c r="O3" s="12"/>
      <c r="P3" s="12"/>
      <c r="Q3" s="13"/>
      <c r="R3" s="12"/>
      <c r="S3" s="12"/>
      <c r="T3" s="13"/>
    </row>
    <row r="4" spans="1:20" ht="19" hidden="1">
      <c r="B4" s="39"/>
      <c r="C4" s="160" t="s">
        <v>320</v>
      </c>
      <c r="D4" s="160"/>
      <c r="E4" s="160"/>
      <c r="F4" s="42"/>
      <c r="H4" s="11"/>
      <c r="I4" s="12"/>
      <c r="J4" s="12"/>
      <c r="K4" s="12"/>
      <c r="L4" s="12"/>
      <c r="M4" s="13"/>
      <c r="N4" s="12"/>
      <c r="O4" s="12"/>
      <c r="P4" s="12"/>
      <c r="Q4" s="13"/>
      <c r="R4" s="12"/>
      <c r="S4" s="12"/>
      <c r="T4" s="13"/>
    </row>
    <row r="5" spans="1:20" ht="19">
      <c r="B5" s="39"/>
      <c r="C5" s="160" t="s">
        <v>320</v>
      </c>
      <c r="D5" s="160"/>
      <c r="E5" s="160"/>
      <c r="F5" s="42"/>
      <c r="H5" s="11"/>
      <c r="I5" s="12"/>
      <c r="J5" s="12"/>
      <c r="K5" s="12"/>
      <c r="L5" s="12"/>
      <c r="M5" s="13"/>
      <c r="N5" s="12"/>
      <c r="O5" s="12"/>
      <c r="P5" s="12"/>
      <c r="Q5" s="13"/>
      <c r="R5" s="12"/>
      <c r="S5" s="12"/>
      <c r="T5" s="13"/>
    </row>
    <row r="6" spans="1:20" ht="59" customHeight="1">
      <c r="B6" s="39"/>
      <c r="C6" s="168" t="s">
        <v>334</v>
      </c>
      <c r="D6" s="168"/>
      <c r="E6" s="122"/>
      <c r="F6" s="42"/>
      <c r="H6" s="165" t="s">
        <v>21</v>
      </c>
      <c r="I6" s="166"/>
      <c r="J6" s="166"/>
      <c r="K6" s="166"/>
      <c r="L6" s="166"/>
      <c r="M6" s="167"/>
      <c r="N6" s="165" t="s">
        <v>22</v>
      </c>
      <c r="O6" s="166"/>
      <c r="P6" s="166"/>
      <c r="Q6" s="167"/>
      <c r="R6" s="165" t="s">
        <v>27</v>
      </c>
      <c r="S6" s="166"/>
      <c r="T6" s="167"/>
    </row>
    <row r="7" spans="1:20" ht="291" customHeight="1">
      <c r="B7" s="107">
        <v>0</v>
      </c>
      <c r="C7" s="31" t="s">
        <v>327</v>
      </c>
      <c r="D7" s="118" t="s">
        <v>328</v>
      </c>
      <c r="E7" s="32" t="s">
        <v>320</v>
      </c>
      <c r="F7" s="42"/>
      <c r="H7" s="133" t="s">
        <v>412</v>
      </c>
      <c r="I7" s="134" t="s">
        <v>413</v>
      </c>
      <c r="J7" s="134" t="s">
        <v>414</v>
      </c>
      <c r="K7" s="134" t="s">
        <v>415</v>
      </c>
      <c r="L7" s="134" t="s">
        <v>416</v>
      </c>
      <c r="M7" s="135" t="s">
        <v>417</v>
      </c>
      <c r="N7" s="134" t="s">
        <v>418</v>
      </c>
      <c r="O7" s="134" t="s">
        <v>419</v>
      </c>
      <c r="P7" s="134" t="s">
        <v>420</v>
      </c>
      <c r="Q7" s="135" t="s">
        <v>421</v>
      </c>
      <c r="R7" s="134" t="s">
        <v>422</v>
      </c>
      <c r="S7" s="134" t="s">
        <v>423</v>
      </c>
      <c r="T7" s="135" t="s">
        <v>424</v>
      </c>
    </row>
    <row r="8" spans="1:20" ht="128">
      <c r="B8" s="61">
        <f>B7+1</f>
        <v>1</v>
      </c>
      <c r="C8" s="57" t="s">
        <v>272</v>
      </c>
      <c r="D8" s="114">
        <f>'Self-Assessment'!D30</f>
        <v>1</v>
      </c>
      <c r="E8" s="57" t="s">
        <v>360</v>
      </c>
      <c r="F8" s="42"/>
      <c r="L8" s="9">
        <v>1</v>
      </c>
      <c r="P8" s="9">
        <v>1</v>
      </c>
      <c r="R8" s="9">
        <v>1</v>
      </c>
    </row>
    <row r="9" spans="1:20" ht="176">
      <c r="B9" s="61">
        <f t="shared" ref="B9:B32" si="0">B8+1</f>
        <v>2</v>
      </c>
      <c r="C9" s="58" t="s">
        <v>218</v>
      </c>
      <c r="D9" s="115">
        <f>'Self-Assessment'!D31</f>
        <v>1</v>
      </c>
      <c r="E9" s="58" t="s">
        <v>321</v>
      </c>
      <c r="F9" s="42"/>
      <c r="H9" s="8">
        <v>1</v>
      </c>
      <c r="L9" s="9">
        <v>1</v>
      </c>
      <c r="Q9" s="10">
        <v>1</v>
      </c>
      <c r="T9" s="10">
        <v>1</v>
      </c>
    </row>
    <row r="10" spans="1:20" ht="144">
      <c r="B10" s="61">
        <f t="shared" si="0"/>
        <v>3</v>
      </c>
      <c r="C10" s="57" t="s">
        <v>219</v>
      </c>
      <c r="D10" s="114">
        <f>'Self-Assessment'!D32</f>
        <v>1</v>
      </c>
      <c r="E10" s="57" t="s">
        <v>361</v>
      </c>
      <c r="F10" s="42"/>
      <c r="H10" s="8">
        <v>1</v>
      </c>
      <c r="L10" s="9">
        <v>1</v>
      </c>
      <c r="M10" s="10">
        <v>1</v>
      </c>
      <c r="Q10" s="10">
        <v>1</v>
      </c>
      <c r="S10" s="9">
        <v>1</v>
      </c>
      <c r="T10" s="10">
        <v>1</v>
      </c>
    </row>
    <row r="11" spans="1:20" ht="144">
      <c r="B11" s="61">
        <f t="shared" si="0"/>
        <v>4</v>
      </c>
      <c r="C11" s="58" t="s">
        <v>273</v>
      </c>
      <c r="D11" s="115">
        <f>'Self-Assessment'!D33</f>
        <v>1.5</v>
      </c>
      <c r="E11" s="58" t="s">
        <v>362</v>
      </c>
      <c r="F11" s="42"/>
      <c r="L11" s="9">
        <v>1</v>
      </c>
      <c r="N11" s="9">
        <v>1</v>
      </c>
      <c r="R11" s="9">
        <v>1</v>
      </c>
    </row>
    <row r="12" spans="1:20" ht="112">
      <c r="B12" s="61">
        <f t="shared" si="0"/>
        <v>5</v>
      </c>
      <c r="C12" s="57" t="s">
        <v>274</v>
      </c>
      <c r="D12" s="114">
        <f>'Self-Assessment'!D34</f>
        <v>3</v>
      </c>
      <c r="E12" s="57" t="s">
        <v>363</v>
      </c>
      <c r="F12" s="42"/>
      <c r="M12" s="10">
        <v>1</v>
      </c>
      <c r="N12" s="9">
        <v>1</v>
      </c>
      <c r="R12" s="9">
        <v>1</v>
      </c>
      <c r="S12" s="9">
        <v>1</v>
      </c>
    </row>
    <row r="13" spans="1:20" ht="112">
      <c r="B13" s="61">
        <f t="shared" si="0"/>
        <v>6</v>
      </c>
      <c r="C13" s="58" t="s">
        <v>237</v>
      </c>
      <c r="D13" s="115">
        <f>'Self-Assessment'!D35</f>
        <v>1</v>
      </c>
      <c r="E13" s="58" t="s">
        <v>364</v>
      </c>
      <c r="F13" s="42"/>
      <c r="H13" s="8">
        <v>1</v>
      </c>
      <c r="J13" s="9">
        <v>1</v>
      </c>
      <c r="M13" s="10">
        <v>1</v>
      </c>
      <c r="O13" s="9">
        <v>1</v>
      </c>
      <c r="P13" s="9">
        <v>1</v>
      </c>
      <c r="Q13" s="10">
        <v>1</v>
      </c>
      <c r="R13" s="9">
        <v>1</v>
      </c>
      <c r="S13" s="9">
        <v>1</v>
      </c>
    </row>
    <row r="14" spans="1:20" ht="152" customHeight="1">
      <c r="B14" s="61">
        <f t="shared" si="0"/>
        <v>7</v>
      </c>
      <c r="C14" s="57" t="s">
        <v>285</v>
      </c>
      <c r="D14" s="114">
        <f>'Self-Assessment'!D36</f>
        <v>1</v>
      </c>
      <c r="E14" s="57" t="s">
        <v>365</v>
      </c>
      <c r="F14" s="42"/>
      <c r="H14" s="8">
        <v>1</v>
      </c>
      <c r="J14" s="9">
        <v>1</v>
      </c>
      <c r="N14" s="9">
        <v>1</v>
      </c>
      <c r="P14" s="9">
        <v>1</v>
      </c>
      <c r="S14" s="9">
        <v>1</v>
      </c>
      <c r="T14" s="10">
        <v>1</v>
      </c>
    </row>
    <row r="15" spans="1:20" ht="80">
      <c r="B15" s="61">
        <f t="shared" si="0"/>
        <v>8</v>
      </c>
      <c r="C15" s="58" t="s">
        <v>220</v>
      </c>
      <c r="D15" s="115">
        <f>'Self-Assessment'!D37</f>
        <v>3</v>
      </c>
      <c r="E15" s="58" t="s">
        <v>322</v>
      </c>
      <c r="F15" s="42"/>
      <c r="M15" s="10">
        <v>1</v>
      </c>
      <c r="Q15" s="10">
        <v>1</v>
      </c>
      <c r="S15" s="9">
        <v>1</v>
      </c>
    </row>
    <row r="16" spans="1:20" ht="160">
      <c r="B16" s="61">
        <f t="shared" si="0"/>
        <v>9</v>
      </c>
      <c r="C16" s="57" t="s">
        <v>275</v>
      </c>
      <c r="D16" s="114">
        <f>'Self-Assessment'!D38</f>
        <v>1</v>
      </c>
      <c r="E16" s="57" t="s">
        <v>323</v>
      </c>
      <c r="F16" s="42"/>
      <c r="H16" s="8">
        <v>1</v>
      </c>
      <c r="N16" s="9">
        <v>1</v>
      </c>
      <c r="S16" s="9">
        <v>1</v>
      </c>
    </row>
    <row r="17" spans="2:20" ht="96">
      <c r="B17" s="61">
        <f t="shared" si="0"/>
        <v>10</v>
      </c>
      <c r="C17" s="58" t="s">
        <v>236</v>
      </c>
      <c r="D17" s="115">
        <f>'Self-Assessment'!D39</f>
        <v>1</v>
      </c>
      <c r="E17" s="58" t="s">
        <v>324</v>
      </c>
      <c r="F17" s="42"/>
      <c r="L17" s="9">
        <v>1</v>
      </c>
      <c r="N17" s="9">
        <v>1</v>
      </c>
      <c r="T17" s="10">
        <v>1</v>
      </c>
    </row>
    <row r="18" spans="2:20" ht="128">
      <c r="B18" s="61">
        <f t="shared" si="0"/>
        <v>11</v>
      </c>
      <c r="C18" s="57" t="s">
        <v>221</v>
      </c>
      <c r="D18" s="114">
        <f>'Self-Assessment'!D40</f>
        <v>0</v>
      </c>
      <c r="E18" s="57" t="s">
        <v>366</v>
      </c>
      <c r="F18" s="42"/>
      <c r="L18" s="9">
        <v>1</v>
      </c>
      <c r="N18" s="9">
        <v>1</v>
      </c>
      <c r="T18" s="10">
        <v>1</v>
      </c>
    </row>
    <row r="19" spans="2:20" ht="144">
      <c r="B19" s="61">
        <f t="shared" si="0"/>
        <v>12</v>
      </c>
      <c r="C19" s="58" t="s">
        <v>276</v>
      </c>
      <c r="D19" s="115">
        <f>'Self-Assessment'!D41</f>
        <v>3</v>
      </c>
      <c r="E19" s="58" t="s">
        <v>367</v>
      </c>
      <c r="F19" s="42"/>
      <c r="L19" s="9">
        <v>1</v>
      </c>
      <c r="N19" s="9">
        <v>1</v>
      </c>
      <c r="R19" s="9">
        <v>1</v>
      </c>
    </row>
    <row r="20" spans="2:20" ht="160">
      <c r="B20" s="61">
        <f t="shared" si="0"/>
        <v>13</v>
      </c>
      <c r="C20" s="57" t="s">
        <v>277</v>
      </c>
      <c r="D20" s="114">
        <f>'Self-Assessment'!D42</f>
        <v>0</v>
      </c>
      <c r="E20" s="57" t="s">
        <v>368</v>
      </c>
      <c r="F20" s="42"/>
      <c r="J20" s="9">
        <v>1</v>
      </c>
      <c r="O20" s="9">
        <v>1</v>
      </c>
      <c r="T20" s="10">
        <v>1</v>
      </c>
    </row>
    <row r="21" spans="2:20" ht="80">
      <c r="B21" s="61">
        <f t="shared" si="0"/>
        <v>14</v>
      </c>
      <c r="C21" s="58" t="s">
        <v>278</v>
      </c>
      <c r="D21" s="115">
        <f>'Self-Assessment'!D43</f>
        <v>0</v>
      </c>
      <c r="E21" s="58" t="s">
        <v>369</v>
      </c>
      <c r="F21" s="42"/>
      <c r="J21" s="9">
        <v>1</v>
      </c>
      <c r="N21" s="9">
        <v>1</v>
      </c>
      <c r="R21" s="9">
        <v>1</v>
      </c>
      <c r="S21" s="9">
        <v>1</v>
      </c>
    </row>
    <row r="22" spans="2:20" ht="210" customHeight="1">
      <c r="B22" s="61">
        <f t="shared" si="0"/>
        <v>15</v>
      </c>
      <c r="C22" s="57" t="s">
        <v>279</v>
      </c>
      <c r="D22" s="114">
        <f>'Self-Assessment'!D44</f>
        <v>1.5</v>
      </c>
      <c r="E22" s="57" t="s">
        <v>370</v>
      </c>
      <c r="F22" s="42"/>
      <c r="H22" s="8">
        <v>1</v>
      </c>
      <c r="K22" s="9">
        <v>1</v>
      </c>
      <c r="N22" s="9">
        <v>1</v>
      </c>
      <c r="P22" s="9">
        <v>1</v>
      </c>
      <c r="R22" s="9">
        <v>1</v>
      </c>
    </row>
    <row r="23" spans="2:20" ht="80">
      <c r="B23" s="61">
        <f t="shared" si="0"/>
        <v>16</v>
      </c>
      <c r="C23" s="58" t="s">
        <v>226</v>
      </c>
      <c r="D23" s="115">
        <f>'Self-Assessment'!D45</f>
        <v>1</v>
      </c>
      <c r="E23" s="58" t="s">
        <v>371</v>
      </c>
      <c r="F23" s="42"/>
      <c r="H23" s="8">
        <v>1</v>
      </c>
      <c r="O23" s="9">
        <v>1</v>
      </c>
      <c r="R23" s="9">
        <v>1</v>
      </c>
    </row>
    <row r="24" spans="2:20" ht="96">
      <c r="B24" s="61">
        <f t="shared" si="0"/>
        <v>17</v>
      </c>
      <c r="C24" s="57" t="s">
        <v>280</v>
      </c>
      <c r="D24" s="114">
        <f>'Self-Assessment'!D46</f>
        <v>1</v>
      </c>
      <c r="E24" s="57" t="s">
        <v>372</v>
      </c>
      <c r="F24" s="42"/>
      <c r="H24" s="8">
        <v>1</v>
      </c>
      <c r="P24" s="9">
        <v>1</v>
      </c>
      <c r="S24" s="9">
        <v>1</v>
      </c>
    </row>
    <row r="25" spans="2:20" ht="80">
      <c r="B25" s="61">
        <f t="shared" si="0"/>
        <v>18</v>
      </c>
      <c r="C25" s="58" t="s">
        <v>222</v>
      </c>
      <c r="D25" s="115">
        <f>'Self-Assessment'!D47</f>
        <v>0</v>
      </c>
      <c r="E25" s="58" t="s">
        <v>325</v>
      </c>
      <c r="F25" s="42"/>
      <c r="K25" s="9">
        <v>1</v>
      </c>
      <c r="N25" s="9">
        <v>1</v>
      </c>
      <c r="S25" s="9">
        <v>1</v>
      </c>
      <c r="T25" s="10">
        <v>1</v>
      </c>
    </row>
    <row r="26" spans="2:20" ht="256">
      <c r="B26" s="61">
        <f t="shared" si="0"/>
        <v>19</v>
      </c>
      <c r="C26" s="57" t="s">
        <v>223</v>
      </c>
      <c r="D26" s="114">
        <f>'Self-Assessment'!D48</f>
        <v>0</v>
      </c>
      <c r="E26" s="57" t="s">
        <v>373</v>
      </c>
      <c r="F26" s="42"/>
      <c r="H26" s="8">
        <v>1</v>
      </c>
      <c r="Q26" s="10">
        <v>1</v>
      </c>
      <c r="T26" s="10">
        <v>1</v>
      </c>
    </row>
    <row r="27" spans="2:20" ht="96">
      <c r="B27" s="61">
        <f t="shared" si="0"/>
        <v>20</v>
      </c>
      <c r="C27" s="58" t="s">
        <v>224</v>
      </c>
      <c r="D27" s="115">
        <f>'Self-Assessment'!D49</f>
        <v>0</v>
      </c>
      <c r="E27" s="58" t="s">
        <v>374</v>
      </c>
      <c r="F27" s="42"/>
      <c r="K27" s="9">
        <v>1</v>
      </c>
      <c r="O27" s="9">
        <v>1</v>
      </c>
      <c r="S27" s="9">
        <v>1</v>
      </c>
    </row>
    <row r="28" spans="2:20" ht="208">
      <c r="B28" s="61">
        <f t="shared" si="0"/>
        <v>21</v>
      </c>
      <c r="C28" s="57" t="s">
        <v>281</v>
      </c>
      <c r="D28" s="114">
        <f>'Self-Assessment'!D50</f>
        <v>0</v>
      </c>
      <c r="E28" s="57" t="s">
        <v>375</v>
      </c>
      <c r="F28" s="42"/>
      <c r="H28" s="8">
        <v>1</v>
      </c>
      <c r="N28" s="9">
        <v>1</v>
      </c>
      <c r="O28" s="9">
        <v>1</v>
      </c>
      <c r="S28" s="9">
        <v>1</v>
      </c>
    </row>
    <row r="29" spans="2:20" ht="160">
      <c r="B29" s="61">
        <f t="shared" si="0"/>
        <v>22</v>
      </c>
      <c r="C29" s="58" t="s">
        <v>282</v>
      </c>
      <c r="D29" s="115">
        <f>'Self-Assessment'!D51</f>
        <v>0</v>
      </c>
      <c r="E29" s="58" t="s">
        <v>376</v>
      </c>
      <c r="F29" s="42"/>
      <c r="H29" s="8">
        <v>1</v>
      </c>
      <c r="J29" s="9">
        <v>1</v>
      </c>
      <c r="P29" s="9">
        <v>1</v>
      </c>
      <c r="Q29" s="10">
        <v>1</v>
      </c>
      <c r="T29" s="10">
        <v>1</v>
      </c>
    </row>
    <row r="30" spans="2:20" ht="96">
      <c r="B30" s="61">
        <f t="shared" si="0"/>
        <v>23</v>
      </c>
      <c r="C30" s="57" t="s">
        <v>225</v>
      </c>
      <c r="D30" s="114">
        <f>'Self-Assessment'!D52</f>
        <v>0</v>
      </c>
      <c r="E30" s="57" t="s">
        <v>377</v>
      </c>
      <c r="F30" s="42"/>
      <c r="I30" s="9">
        <v>1</v>
      </c>
      <c r="O30" s="9">
        <v>1</v>
      </c>
      <c r="P30" s="9">
        <v>1</v>
      </c>
      <c r="Q30" s="10">
        <v>1</v>
      </c>
      <c r="R30" s="9">
        <v>1</v>
      </c>
      <c r="S30" s="9">
        <v>1</v>
      </c>
      <c r="T30" s="10">
        <v>1</v>
      </c>
    </row>
    <row r="31" spans="2:20" ht="64">
      <c r="B31" s="61">
        <f t="shared" si="0"/>
        <v>24</v>
      </c>
      <c r="C31" s="58" t="s">
        <v>283</v>
      </c>
      <c r="D31" s="115">
        <f>'Self-Assessment'!D53</f>
        <v>0</v>
      </c>
      <c r="E31" s="58" t="s">
        <v>378</v>
      </c>
      <c r="F31" s="42"/>
      <c r="H31" s="8">
        <v>1</v>
      </c>
      <c r="I31" s="9">
        <v>1</v>
      </c>
      <c r="N31" s="9">
        <v>1</v>
      </c>
      <c r="P31" s="9">
        <v>1</v>
      </c>
      <c r="R31" s="9">
        <v>1</v>
      </c>
      <c r="S31" s="9">
        <v>1</v>
      </c>
      <c r="T31" s="10">
        <v>1</v>
      </c>
    </row>
    <row r="32" spans="2:20" ht="97" thickBot="1">
      <c r="B32" s="61">
        <f t="shared" si="0"/>
        <v>25</v>
      </c>
      <c r="C32" s="60" t="s">
        <v>284</v>
      </c>
      <c r="D32" s="116">
        <f>'Self-Assessment'!D54</f>
        <v>2</v>
      </c>
      <c r="E32" s="60" t="s">
        <v>326</v>
      </c>
      <c r="F32" s="42"/>
      <c r="I32" s="9">
        <v>1</v>
      </c>
      <c r="K32" s="9">
        <v>1</v>
      </c>
      <c r="L32" s="9">
        <v>1</v>
      </c>
      <c r="P32" s="9">
        <v>1</v>
      </c>
      <c r="Q32" s="10">
        <v>1</v>
      </c>
      <c r="R32" s="9">
        <v>1</v>
      </c>
    </row>
    <row r="33" spans="2:20" ht="21">
      <c r="B33" s="62"/>
      <c r="C33" s="55"/>
      <c r="D33" s="56"/>
      <c r="E33" s="56"/>
      <c r="F33" s="42"/>
    </row>
    <row r="34" spans="2:20" ht="16">
      <c r="B34" s="107">
        <f>B32</f>
        <v>25</v>
      </c>
      <c r="C34" s="31" t="s">
        <v>227</v>
      </c>
      <c r="D34" s="32" t="s">
        <v>328</v>
      </c>
      <c r="E34" s="113" t="s">
        <v>320</v>
      </c>
      <c r="F34" s="42"/>
      <c r="H34" s="119">
        <v>1</v>
      </c>
      <c r="I34" s="120">
        <v>1</v>
      </c>
      <c r="J34" s="120">
        <v>1</v>
      </c>
      <c r="K34" s="120">
        <v>1</v>
      </c>
      <c r="L34" s="120">
        <v>1</v>
      </c>
      <c r="M34" s="121">
        <v>1</v>
      </c>
      <c r="N34" s="120">
        <v>1</v>
      </c>
      <c r="O34" s="120">
        <v>1</v>
      </c>
      <c r="P34" s="120">
        <v>1</v>
      </c>
      <c r="Q34" s="121">
        <v>1</v>
      </c>
      <c r="R34" s="120">
        <v>1</v>
      </c>
      <c r="S34" s="120">
        <v>1</v>
      </c>
      <c r="T34" s="121">
        <v>1</v>
      </c>
    </row>
    <row r="35" spans="2:20" ht="144">
      <c r="B35" s="61">
        <f>B34+1</f>
        <v>26</v>
      </c>
      <c r="C35" s="57" t="s">
        <v>286</v>
      </c>
      <c r="D35" s="114">
        <f>'Self-Assessment'!D57</f>
        <v>1</v>
      </c>
      <c r="E35" s="57" t="s">
        <v>336</v>
      </c>
      <c r="F35" s="42"/>
      <c r="H35" s="8">
        <v>1</v>
      </c>
      <c r="I35" s="9">
        <v>1</v>
      </c>
      <c r="N35" s="9">
        <v>1</v>
      </c>
      <c r="R35" s="9">
        <v>1</v>
      </c>
    </row>
    <row r="36" spans="2:20" ht="272">
      <c r="B36" s="61">
        <f t="shared" ref="B36:B48" si="1">B35+1</f>
        <v>27</v>
      </c>
      <c r="C36" s="58" t="s">
        <v>287</v>
      </c>
      <c r="D36" s="115">
        <f>'Self-Assessment'!D58</f>
        <v>1.5</v>
      </c>
      <c r="E36" s="58" t="s">
        <v>379</v>
      </c>
      <c r="F36" s="42"/>
      <c r="H36" s="8">
        <v>1</v>
      </c>
      <c r="I36" s="9">
        <v>1</v>
      </c>
      <c r="P36" s="9">
        <v>1</v>
      </c>
      <c r="T36" s="10">
        <v>1</v>
      </c>
    </row>
    <row r="37" spans="2:20" ht="160">
      <c r="B37" s="61">
        <f t="shared" si="1"/>
        <v>28</v>
      </c>
      <c r="C37" s="57" t="s">
        <v>288</v>
      </c>
      <c r="D37" s="114">
        <f>'Self-Assessment'!D59</f>
        <v>2</v>
      </c>
      <c r="E37" s="57" t="s">
        <v>380</v>
      </c>
      <c r="F37" s="42"/>
      <c r="H37" s="8">
        <v>1</v>
      </c>
      <c r="I37" s="9">
        <v>1</v>
      </c>
      <c r="P37" s="9">
        <v>1</v>
      </c>
      <c r="R37" s="9">
        <v>1</v>
      </c>
      <c r="T37" s="10">
        <v>1</v>
      </c>
    </row>
    <row r="38" spans="2:20" ht="160">
      <c r="B38" s="61">
        <f t="shared" si="1"/>
        <v>29</v>
      </c>
      <c r="C38" s="58" t="s">
        <v>289</v>
      </c>
      <c r="D38" s="115">
        <f>'Self-Assessment'!D60</f>
        <v>1</v>
      </c>
      <c r="E38" s="58" t="s">
        <v>381</v>
      </c>
      <c r="F38" s="42"/>
      <c r="H38" s="8">
        <v>1</v>
      </c>
      <c r="I38" s="9">
        <v>1</v>
      </c>
      <c r="P38" s="9">
        <v>1</v>
      </c>
      <c r="R38" s="9">
        <v>1</v>
      </c>
      <c r="S38" s="9">
        <v>1</v>
      </c>
      <c r="T38" s="10">
        <v>1</v>
      </c>
    </row>
    <row r="39" spans="2:20" ht="112">
      <c r="B39" s="61">
        <f t="shared" si="1"/>
        <v>30</v>
      </c>
      <c r="C39" s="57" t="s">
        <v>228</v>
      </c>
      <c r="D39" s="114">
        <f>'Self-Assessment'!D61</f>
        <v>1.5</v>
      </c>
      <c r="E39" s="57" t="s">
        <v>337</v>
      </c>
      <c r="F39" s="42"/>
      <c r="K39" s="9">
        <v>1</v>
      </c>
      <c r="L39" s="9">
        <v>1</v>
      </c>
      <c r="O39" s="9">
        <v>1</v>
      </c>
      <c r="R39" s="9">
        <v>1</v>
      </c>
    </row>
    <row r="40" spans="2:20" ht="160">
      <c r="B40" s="61">
        <f t="shared" si="1"/>
        <v>31</v>
      </c>
      <c r="C40" s="58" t="s">
        <v>290</v>
      </c>
      <c r="D40" s="115">
        <f>'Self-Assessment'!D62</f>
        <v>1.5</v>
      </c>
      <c r="E40" s="58" t="s">
        <v>338</v>
      </c>
      <c r="F40" s="42"/>
      <c r="L40" s="9">
        <v>1</v>
      </c>
      <c r="N40" s="9">
        <v>1</v>
      </c>
      <c r="R40" s="9">
        <v>1</v>
      </c>
    </row>
    <row r="41" spans="2:20" ht="128">
      <c r="B41" s="61">
        <f t="shared" si="1"/>
        <v>32</v>
      </c>
      <c r="C41" s="57" t="s">
        <v>254</v>
      </c>
      <c r="D41" s="114">
        <f>'Self-Assessment'!D63</f>
        <v>2</v>
      </c>
      <c r="E41" s="57" t="s">
        <v>382</v>
      </c>
      <c r="F41" s="42"/>
      <c r="L41" s="9">
        <v>1</v>
      </c>
      <c r="N41" s="9">
        <v>1</v>
      </c>
      <c r="R41" s="9">
        <v>1</v>
      </c>
    </row>
    <row r="42" spans="2:20" ht="112">
      <c r="B42" s="61">
        <f t="shared" si="1"/>
        <v>33</v>
      </c>
      <c r="C42" s="58" t="s">
        <v>229</v>
      </c>
      <c r="D42" s="115">
        <f>'Self-Assessment'!D64</f>
        <v>2</v>
      </c>
      <c r="E42" s="58" t="s">
        <v>339</v>
      </c>
      <c r="F42" s="42"/>
      <c r="L42" s="9">
        <v>1</v>
      </c>
      <c r="N42" s="9">
        <v>1</v>
      </c>
      <c r="R42" s="9">
        <v>1</v>
      </c>
    </row>
    <row r="43" spans="2:20" ht="80">
      <c r="B43" s="61">
        <f t="shared" si="1"/>
        <v>34</v>
      </c>
      <c r="C43" s="57" t="s">
        <v>230</v>
      </c>
      <c r="D43" s="114">
        <f>'Self-Assessment'!D65</f>
        <v>2</v>
      </c>
      <c r="E43" s="57" t="s">
        <v>383</v>
      </c>
      <c r="F43" s="42"/>
      <c r="H43" s="8">
        <v>1</v>
      </c>
      <c r="L43" s="9">
        <v>1</v>
      </c>
      <c r="O43" s="9">
        <v>1</v>
      </c>
      <c r="R43" s="9">
        <v>1</v>
      </c>
    </row>
    <row r="44" spans="2:20" ht="64">
      <c r="B44" s="61">
        <f t="shared" si="1"/>
        <v>35</v>
      </c>
      <c r="C44" s="58" t="s">
        <v>231</v>
      </c>
      <c r="D44" s="115">
        <f>'Self-Assessment'!D66</f>
        <v>1</v>
      </c>
      <c r="E44" s="58" t="s">
        <v>340</v>
      </c>
      <c r="F44" s="42"/>
      <c r="I44" s="9">
        <v>1</v>
      </c>
      <c r="J44" s="9">
        <v>1</v>
      </c>
      <c r="L44" s="9">
        <v>1</v>
      </c>
      <c r="N44" s="9">
        <v>1</v>
      </c>
      <c r="P44" s="9">
        <v>1</v>
      </c>
      <c r="T44" s="10">
        <v>1</v>
      </c>
    </row>
    <row r="45" spans="2:20" ht="64">
      <c r="B45" s="61">
        <f t="shared" si="1"/>
        <v>36</v>
      </c>
      <c r="C45" s="57" t="s">
        <v>232</v>
      </c>
      <c r="D45" s="114">
        <f>'Self-Assessment'!D67</f>
        <v>0</v>
      </c>
      <c r="E45" s="57" t="s">
        <v>384</v>
      </c>
      <c r="F45" s="42"/>
      <c r="I45" s="9">
        <v>1</v>
      </c>
      <c r="N45" s="9">
        <v>1</v>
      </c>
      <c r="R45" s="9">
        <v>1</v>
      </c>
    </row>
    <row r="46" spans="2:20" ht="80">
      <c r="B46" s="61">
        <f t="shared" si="1"/>
        <v>37</v>
      </c>
      <c r="C46" s="58" t="s">
        <v>291</v>
      </c>
      <c r="D46" s="115">
        <f>'Self-Assessment'!D68</f>
        <v>0</v>
      </c>
      <c r="E46" s="58" t="s">
        <v>385</v>
      </c>
      <c r="F46" s="42"/>
      <c r="K46" s="9">
        <v>1</v>
      </c>
      <c r="L46" s="9">
        <v>1</v>
      </c>
      <c r="O46" s="9">
        <v>1</v>
      </c>
      <c r="T46" s="10">
        <v>1</v>
      </c>
    </row>
    <row r="47" spans="2:20" ht="64">
      <c r="B47" s="61">
        <f t="shared" si="1"/>
        <v>38</v>
      </c>
      <c r="C47" s="57" t="s">
        <v>292</v>
      </c>
      <c r="D47" s="114">
        <f>'Self-Assessment'!D69</f>
        <v>0</v>
      </c>
      <c r="E47" s="57" t="s">
        <v>341</v>
      </c>
      <c r="F47" s="42"/>
      <c r="L47" s="9">
        <v>1</v>
      </c>
      <c r="O47" s="9">
        <v>1</v>
      </c>
      <c r="S47" s="9">
        <v>1</v>
      </c>
    </row>
    <row r="48" spans="2:20" ht="112">
      <c r="B48" s="61">
        <f t="shared" si="1"/>
        <v>39</v>
      </c>
      <c r="C48" s="58" t="s">
        <v>235</v>
      </c>
      <c r="D48" s="115">
        <f>'Self-Assessment'!D70</f>
        <v>1.5</v>
      </c>
      <c r="E48" s="58" t="s">
        <v>386</v>
      </c>
      <c r="F48" s="42"/>
      <c r="M48" s="10">
        <v>1</v>
      </c>
      <c r="N48" s="9">
        <v>1</v>
      </c>
      <c r="O48" s="9">
        <v>1</v>
      </c>
      <c r="S48" s="9">
        <v>1</v>
      </c>
    </row>
    <row r="49" spans="2:20" ht="113" thickBot="1">
      <c r="B49" s="61">
        <f>B48+1</f>
        <v>40</v>
      </c>
      <c r="C49" s="60" t="s">
        <v>293</v>
      </c>
      <c r="D49" s="116">
        <f>'Self-Assessment'!D71</f>
        <v>0</v>
      </c>
      <c r="E49" s="60" t="s">
        <v>387</v>
      </c>
      <c r="F49" s="42"/>
      <c r="M49" s="10">
        <v>1</v>
      </c>
      <c r="O49" s="9">
        <v>1</v>
      </c>
      <c r="P49" s="9">
        <v>1</v>
      </c>
      <c r="R49" s="9">
        <v>1</v>
      </c>
    </row>
    <row r="50" spans="2:20" ht="21">
      <c r="B50" s="62"/>
      <c r="C50" s="55"/>
      <c r="D50" s="56"/>
      <c r="E50" s="56"/>
      <c r="F50" s="42"/>
    </row>
    <row r="51" spans="2:20" ht="16">
      <c r="B51" s="107">
        <f>B49</f>
        <v>40</v>
      </c>
      <c r="C51" s="31" t="s">
        <v>233</v>
      </c>
      <c r="D51" s="32" t="s">
        <v>328</v>
      </c>
      <c r="E51" s="113" t="s">
        <v>320</v>
      </c>
      <c r="F51" s="42"/>
      <c r="H51" s="119">
        <v>1</v>
      </c>
      <c r="I51" s="120">
        <v>1</v>
      </c>
      <c r="J51" s="120">
        <v>1</v>
      </c>
      <c r="K51" s="120">
        <v>1</v>
      </c>
      <c r="L51" s="120">
        <v>1</v>
      </c>
      <c r="M51" s="121">
        <v>1</v>
      </c>
      <c r="N51" s="120">
        <v>1</v>
      </c>
      <c r="O51" s="120">
        <v>1</v>
      </c>
      <c r="P51" s="120">
        <v>1</v>
      </c>
      <c r="Q51" s="121">
        <v>1</v>
      </c>
      <c r="R51" s="120">
        <v>1</v>
      </c>
      <c r="S51" s="120">
        <v>1</v>
      </c>
      <c r="T51" s="121">
        <v>1</v>
      </c>
    </row>
    <row r="52" spans="2:20" ht="272">
      <c r="B52" s="61">
        <f>B51+1</f>
        <v>41</v>
      </c>
      <c r="C52" s="57" t="s">
        <v>294</v>
      </c>
      <c r="D52" s="114">
        <f>'Self-Assessment'!D74</f>
        <v>0</v>
      </c>
      <c r="E52" s="57" t="s">
        <v>342</v>
      </c>
      <c r="F52" s="42"/>
      <c r="H52" s="8">
        <v>1</v>
      </c>
      <c r="K52" s="9">
        <v>1</v>
      </c>
      <c r="N52" s="9">
        <v>1</v>
      </c>
      <c r="O52" s="9">
        <v>1</v>
      </c>
      <c r="R52" s="9">
        <v>1</v>
      </c>
    </row>
    <row r="53" spans="2:20" ht="176">
      <c r="B53" s="61">
        <f t="shared" ref="B53:B60" si="2">B52+1</f>
        <v>42</v>
      </c>
      <c r="C53" s="58" t="s">
        <v>295</v>
      </c>
      <c r="D53" s="115">
        <f>'Self-Assessment'!D75</f>
        <v>0</v>
      </c>
      <c r="E53" s="58" t="s">
        <v>388</v>
      </c>
      <c r="F53" s="42"/>
      <c r="K53" s="9">
        <v>1</v>
      </c>
      <c r="L53" s="9">
        <v>1</v>
      </c>
      <c r="N53" s="9">
        <v>1</v>
      </c>
      <c r="O53" s="9">
        <v>1</v>
      </c>
      <c r="R53" s="9">
        <v>1</v>
      </c>
    </row>
    <row r="54" spans="2:20" ht="144">
      <c r="B54" s="61">
        <f t="shared" si="2"/>
        <v>43</v>
      </c>
      <c r="C54" s="57" t="s">
        <v>296</v>
      </c>
      <c r="D54" s="114">
        <f>'Self-Assessment'!D76</f>
        <v>0</v>
      </c>
      <c r="E54" s="57" t="s">
        <v>389</v>
      </c>
      <c r="F54" s="42"/>
      <c r="K54" s="9">
        <v>1</v>
      </c>
      <c r="N54" s="9">
        <v>1</v>
      </c>
      <c r="O54" s="9">
        <v>1</v>
      </c>
      <c r="T54" s="10">
        <v>1</v>
      </c>
    </row>
    <row r="55" spans="2:20" ht="64">
      <c r="B55" s="61">
        <f t="shared" si="2"/>
        <v>44</v>
      </c>
      <c r="C55" s="58" t="s">
        <v>297</v>
      </c>
      <c r="D55" s="115">
        <f>'Self-Assessment'!D77</f>
        <v>0</v>
      </c>
      <c r="E55" s="58" t="s">
        <v>390</v>
      </c>
      <c r="F55" s="42"/>
      <c r="K55" s="9">
        <v>1</v>
      </c>
      <c r="N55" s="9">
        <v>1</v>
      </c>
      <c r="O55" s="9">
        <v>1</v>
      </c>
      <c r="S55" s="9">
        <v>1</v>
      </c>
    </row>
    <row r="56" spans="2:20" ht="64">
      <c r="B56" s="61">
        <f t="shared" si="2"/>
        <v>45</v>
      </c>
      <c r="C56" s="57" t="s">
        <v>298</v>
      </c>
      <c r="D56" s="114">
        <f>'Self-Assessment'!D78</f>
        <v>0</v>
      </c>
      <c r="E56" s="57" t="s">
        <v>343</v>
      </c>
      <c r="F56" s="42"/>
      <c r="K56" s="9">
        <v>1</v>
      </c>
      <c r="N56" s="9">
        <v>1</v>
      </c>
      <c r="O56" s="9">
        <v>1</v>
      </c>
      <c r="R56" s="9">
        <v>1</v>
      </c>
    </row>
    <row r="57" spans="2:20" ht="288">
      <c r="B57" s="61">
        <f t="shared" si="2"/>
        <v>46</v>
      </c>
      <c r="C57" s="58" t="s">
        <v>299</v>
      </c>
      <c r="D57" s="115">
        <f>'Self-Assessment'!D79</f>
        <v>0</v>
      </c>
      <c r="E57" s="58" t="s">
        <v>344</v>
      </c>
      <c r="F57" s="42"/>
      <c r="K57" s="9">
        <v>1</v>
      </c>
      <c r="N57" s="9">
        <v>1</v>
      </c>
      <c r="O57" s="9">
        <v>1</v>
      </c>
      <c r="T57" s="10">
        <v>1</v>
      </c>
    </row>
    <row r="58" spans="2:20" ht="64">
      <c r="B58" s="61">
        <f t="shared" si="2"/>
        <v>47</v>
      </c>
      <c r="C58" s="57" t="s">
        <v>255</v>
      </c>
      <c r="D58" s="114">
        <f>'Self-Assessment'!D80</f>
        <v>0</v>
      </c>
      <c r="E58" s="57" t="s">
        <v>391</v>
      </c>
      <c r="F58" s="42"/>
      <c r="J58" s="9">
        <v>1</v>
      </c>
      <c r="L58" s="9">
        <v>1</v>
      </c>
      <c r="M58" s="10">
        <v>1</v>
      </c>
      <c r="N58" s="9">
        <v>1</v>
      </c>
      <c r="O58" s="9">
        <v>1</v>
      </c>
      <c r="P58" s="9">
        <v>1</v>
      </c>
      <c r="T58" s="10">
        <v>1</v>
      </c>
    </row>
    <row r="59" spans="2:20" ht="160">
      <c r="B59" s="61">
        <f t="shared" si="2"/>
        <v>48</v>
      </c>
      <c r="C59" s="58" t="s">
        <v>300</v>
      </c>
      <c r="D59" s="115">
        <f>'Self-Assessment'!D81</f>
        <v>0</v>
      </c>
      <c r="E59" s="58" t="s">
        <v>392</v>
      </c>
      <c r="F59" s="42"/>
      <c r="H59" s="8">
        <v>1</v>
      </c>
      <c r="K59" s="9">
        <v>1</v>
      </c>
      <c r="N59" s="9">
        <v>1</v>
      </c>
      <c r="O59" s="9">
        <v>1</v>
      </c>
      <c r="R59" s="9">
        <v>1</v>
      </c>
    </row>
    <row r="60" spans="2:20" ht="65" thickBot="1">
      <c r="B60" s="61">
        <f t="shared" si="2"/>
        <v>49</v>
      </c>
      <c r="C60" s="60" t="s">
        <v>234</v>
      </c>
      <c r="D60" s="116">
        <f>'Self-Assessment'!D82</f>
        <v>0</v>
      </c>
      <c r="E60" s="60" t="s">
        <v>345</v>
      </c>
      <c r="F60" s="42"/>
      <c r="I60" s="9">
        <v>1</v>
      </c>
      <c r="M60" s="10">
        <v>1</v>
      </c>
      <c r="O60" s="9">
        <v>1</v>
      </c>
      <c r="P60" s="9">
        <v>1</v>
      </c>
      <c r="R60" s="9">
        <v>1</v>
      </c>
      <c r="T60" s="10">
        <v>1</v>
      </c>
    </row>
    <row r="61" spans="2:20" ht="21">
      <c r="B61" s="39"/>
      <c r="C61" s="55"/>
      <c r="D61" s="56"/>
      <c r="E61" s="56"/>
      <c r="F61" s="42"/>
    </row>
    <row r="62" spans="2:20" ht="16">
      <c r="B62" s="107">
        <f>B60</f>
        <v>49</v>
      </c>
      <c r="C62" s="31" t="s">
        <v>238</v>
      </c>
      <c r="D62" s="32" t="s">
        <v>328</v>
      </c>
      <c r="E62" s="113" t="s">
        <v>320</v>
      </c>
      <c r="F62" s="42"/>
      <c r="H62" s="119">
        <v>1</v>
      </c>
      <c r="I62" s="120">
        <v>1</v>
      </c>
      <c r="J62" s="120">
        <v>1</v>
      </c>
      <c r="K62" s="120">
        <v>1</v>
      </c>
      <c r="L62" s="120">
        <v>1</v>
      </c>
      <c r="M62" s="121">
        <v>1</v>
      </c>
      <c r="N62" s="120">
        <v>1</v>
      </c>
      <c r="O62" s="120">
        <v>1</v>
      </c>
      <c r="P62" s="120">
        <v>1</v>
      </c>
      <c r="Q62" s="121">
        <v>1</v>
      </c>
      <c r="R62" s="120">
        <v>1</v>
      </c>
      <c r="S62" s="120">
        <v>1</v>
      </c>
      <c r="T62" s="121">
        <v>1</v>
      </c>
    </row>
    <row r="63" spans="2:20" ht="192">
      <c r="B63" s="61">
        <f>B62+1</f>
        <v>50</v>
      </c>
      <c r="C63" s="57" t="s">
        <v>301</v>
      </c>
      <c r="D63" s="114">
        <f>'Self-Assessment'!D85</f>
        <v>1</v>
      </c>
      <c r="E63" s="57" t="s">
        <v>346</v>
      </c>
      <c r="F63" s="42"/>
      <c r="H63" s="8">
        <v>1</v>
      </c>
      <c r="N63" s="9">
        <v>1</v>
      </c>
      <c r="R63" s="9">
        <v>1</v>
      </c>
    </row>
    <row r="64" spans="2:20" ht="112">
      <c r="B64" s="61">
        <f t="shared" ref="B64:B81" si="3">B63+1</f>
        <v>51</v>
      </c>
      <c r="C64" s="58" t="s">
        <v>239</v>
      </c>
      <c r="D64" s="115">
        <f>'Self-Assessment'!D86</f>
        <v>0</v>
      </c>
      <c r="E64" s="58" t="s">
        <v>347</v>
      </c>
      <c r="F64" s="42"/>
      <c r="H64" s="8">
        <v>1</v>
      </c>
      <c r="I64" s="9">
        <v>1</v>
      </c>
      <c r="N64" s="9">
        <v>1</v>
      </c>
      <c r="R64" s="9">
        <v>1</v>
      </c>
    </row>
    <row r="65" spans="2:20" ht="128">
      <c r="B65" s="61">
        <f t="shared" si="3"/>
        <v>52</v>
      </c>
      <c r="C65" s="57" t="s">
        <v>302</v>
      </c>
      <c r="D65" s="114">
        <f>'Self-Assessment'!D87</f>
        <v>1</v>
      </c>
      <c r="E65" s="57" t="s">
        <v>393</v>
      </c>
      <c r="F65" s="42"/>
      <c r="J65" s="9">
        <v>1</v>
      </c>
      <c r="L65" s="9">
        <v>1</v>
      </c>
      <c r="P65" s="9">
        <v>1</v>
      </c>
      <c r="S65" s="9">
        <v>1</v>
      </c>
      <c r="T65" s="10">
        <v>1</v>
      </c>
    </row>
    <row r="66" spans="2:20" ht="80">
      <c r="B66" s="61">
        <f t="shared" si="3"/>
        <v>53</v>
      </c>
      <c r="C66" s="58" t="s">
        <v>303</v>
      </c>
      <c r="D66" s="115">
        <f>'Self-Assessment'!D88</f>
        <v>0</v>
      </c>
      <c r="E66" s="58" t="s">
        <v>348</v>
      </c>
      <c r="F66" s="42"/>
      <c r="K66" s="9">
        <v>1</v>
      </c>
      <c r="O66" s="9">
        <v>1</v>
      </c>
      <c r="R66" s="9">
        <v>1</v>
      </c>
    </row>
    <row r="67" spans="2:20" ht="64">
      <c r="B67" s="61">
        <f t="shared" si="3"/>
        <v>54</v>
      </c>
      <c r="C67" s="57" t="s">
        <v>240</v>
      </c>
      <c r="D67" s="114">
        <f>'Self-Assessment'!D89</f>
        <v>1</v>
      </c>
      <c r="E67" s="57" t="s">
        <v>394</v>
      </c>
      <c r="F67" s="42"/>
      <c r="L67" s="9">
        <v>1</v>
      </c>
      <c r="N67" s="9">
        <v>1</v>
      </c>
      <c r="O67" s="9">
        <v>1</v>
      </c>
      <c r="R67" s="9">
        <v>1</v>
      </c>
      <c r="S67" s="9">
        <v>1</v>
      </c>
      <c r="T67" s="10">
        <v>1</v>
      </c>
    </row>
    <row r="68" spans="2:20" ht="64">
      <c r="B68" s="61">
        <f t="shared" si="3"/>
        <v>55</v>
      </c>
      <c r="C68" s="58" t="s">
        <v>241</v>
      </c>
      <c r="D68" s="115">
        <f>'Self-Assessment'!D90</f>
        <v>1</v>
      </c>
      <c r="E68" s="58" t="s">
        <v>349</v>
      </c>
      <c r="F68" s="42"/>
      <c r="K68" s="9">
        <v>1</v>
      </c>
      <c r="P68" s="9">
        <v>1</v>
      </c>
      <c r="Q68" s="10">
        <v>1</v>
      </c>
      <c r="R68" s="9">
        <v>1</v>
      </c>
    </row>
    <row r="69" spans="2:20" ht="64">
      <c r="B69" s="61">
        <f t="shared" si="3"/>
        <v>56</v>
      </c>
      <c r="C69" s="57" t="s">
        <v>242</v>
      </c>
      <c r="D69" s="114">
        <f>'Self-Assessment'!D91</f>
        <v>1</v>
      </c>
      <c r="E69" s="57" t="s">
        <v>350</v>
      </c>
      <c r="F69" s="42"/>
      <c r="K69" s="9">
        <v>1</v>
      </c>
      <c r="L69" s="9">
        <v>1</v>
      </c>
      <c r="N69" s="9">
        <v>1</v>
      </c>
      <c r="R69" s="9">
        <v>1</v>
      </c>
    </row>
    <row r="70" spans="2:20" ht="80">
      <c r="B70" s="61">
        <f t="shared" si="3"/>
        <v>57</v>
      </c>
      <c r="C70" s="58" t="s">
        <v>243</v>
      </c>
      <c r="D70" s="115">
        <f>'Self-Assessment'!D92</f>
        <v>0</v>
      </c>
      <c r="E70" s="58" t="s">
        <v>395</v>
      </c>
      <c r="F70" s="42"/>
      <c r="K70" s="9">
        <v>1</v>
      </c>
      <c r="O70" s="9">
        <v>1</v>
      </c>
      <c r="R70" s="9">
        <v>1</v>
      </c>
    </row>
    <row r="71" spans="2:20" ht="64">
      <c r="B71" s="61">
        <f t="shared" si="3"/>
        <v>58</v>
      </c>
      <c r="C71" s="57" t="s">
        <v>304</v>
      </c>
      <c r="D71" s="114">
        <f>'Self-Assessment'!D93</f>
        <v>0</v>
      </c>
      <c r="E71" s="57" t="s">
        <v>396</v>
      </c>
      <c r="F71" s="42"/>
      <c r="K71" s="9">
        <v>1</v>
      </c>
      <c r="O71" s="9">
        <v>1</v>
      </c>
      <c r="R71" s="9">
        <v>1</v>
      </c>
    </row>
    <row r="72" spans="2:20" ht="80">
      <c r="B72" s="61">
        <f t="shared" si="3"/>
        <v>59</v>
      </c>
      <c r="C72" s="58" t="s">
        <v>305</v>
      </c>
      <c r="D72" s="115">
        <f>'Self-Assessment'!D94</f>
        <v>0</v>
      </c>
      <c r="E72" s="58" t="s">
        <v>397</v>
      </c>
      <c r="F72" s="42"/>
      <c r="K72" s="9">
        <v>1</v>
      </c>
      <c r="N72" s="9">
        <v>1</v>
      </c>
      <c r="T72" s="10">
        <v>1</v>
      </c>
    </row>
    <row r="73" spans="2:20" ht="64">
      <c r="B73" s="61">
        <f t="shared" si="3"/>
        <v>60</v>
      </c>
      <c r="C73" s="57" t="s">
        <v>244</v>
      </c>
      <c r="D73" s="114">
        <f>'Self-Assessment'!D95</f>
        <v>0</v>
      </c>
      <c r="E73" s="57" t="s">
        <v>351</v>
      </c>
      <c r="F73" s="42"/>
      <c r="K73" s="9">
        <v>1</v>
      </c>
      <c r="Q73" s="10">
        <v>1</v>
      </c>
      <c r="R73" s="9">
        <v>1</v>
      </c>
    </row>
    <row r="74" spans="2:20" ht="80">
      <c r="B74" s="61">
        <f t="shared" si="3"/>
        <v>61</v>
      </c>
      <c r="C74" s="58" t="s">
        <v>306</v>
      </c>
      <c r="D74" s="115">
        <f>'Self-Assessment'!D96</f>
        <v>0</v>
      </c>
      <c r="E74" s="58" t="s">
        <v>398</v>
      </c>
      <c r="F74" s="42"/>
      <c r="I74" s="9">
        <v>1</v>
      </c>
      <c r="O74" s="9">
        <v>1</v>
      </c>
      <c r="T74" s="10">
        <v>1</v>
      </c>
    </row>
    <row r="75" spans="2:20" ht="80">
      <c r="B75" s="61">
        <f t="shared" si="3"/>
        <v>62</v>
      </c>
      <c r="C75" s="57" t="s">
        <v>307</v>
      </c>
      <c r="D75" s="114">
        <f>'Self-Assessment'!D97</f>
        <v>0</v>
      </c>
      <c r="E75" s="57" t="s">
        <v>352</v>
      </c>
      <c r="F75" s="42"/>
      <c r="K75" s="9">
        <v>1</v>
      </c>
      <c r="P75" s="9">
        <v>1</v>
      </c>
      <c r="Q75" s="10">
        <v>1</v>
      </c>
      <c r="R75" s="9">
        <v>1</v>
      </c>
      <c r="S75" s="9">
        <v>1</v>
      </c>
      <c r="T75" s="10">
        <v>1</v>
      </c>
    </row>
    <row r="76" spans="2:20" ht="80">
      <c r="B76" s="61">
        <f t="shared" si="3"/>
        <v>63</v>
      </c>
      <c r="C76" s="58" t="s">
        <v>308</v>
      </c>
      <c r="D76" s="115">
        <f>'Self-Assessment'!D98</f>
        <v>0</v>
      </c>
      <c r="E76" s="58" t="s">
        <v>353</v>
      </c>
      <c r="F76" s="42"/>
      <c r="K76" s="9">
        <v>1</v>
      </c>
      <c r="N76" s="9">
        <v>1</v>
      </c>
      <c r="R76" s="9">
        <v>1</v>
      </c>
    </row>
    <row r="77" spans="2:20" ht="64">
      <c r="B77" s="61">
        <f t="shared" si="3"/>
        <v>64</v>
      </c>
      <c r="C77" s="57" t="s">
        <v>309</v>
      </c>
      <c r="D77" s="114">
        <f>'Self-Assessment'!D99</f>
        <v>0</v>
      </c>
      <c r="E77" s="57" t="s">
        <v>399</v>
      </c>
      <c r="F77" s="42"/>
      <c r="J77" s="9">
        <v>1</v>
      </c>
      <c r="K77" s="9">
        <v>1</v>
      </c>
      <c r="N77" s="9">
        <v>1</v>
      </c>
      <c r="P77" s="9">
        <v>1</v>
      </c>
      <c r="R77" s="9">
        <v>1</v>
      </c>
      <c r="S77" s="9">
        <v>1</v>
      </c>
    </row>
    <row r="78" spans="2:20" ht="64">
      <c r="B78" s="61">
        <f t="shared" si="3"/>
        <v>65</v>
      </c>
      <c r="C78" s="58" t="s">
        <v>310</v>
      </c>
      <c r="D78" s="115">
        <f>'Self-Assessment'!D100</f>
        <v>0</v>
      </c>
      <c r="E78" s="58" t="s">
        <v>354</v>
      </c>
      <c r="F78" s="42"/>
      <c r="J78" s="9">
        <v>1</v>
      </c>
      <c r="O78" s="9">
        <v>1</v>
      </c>
      <c r="T78" s="10">
        <v>1</v>
      </c>
    </row>
    <row r="79" spans="2:20" ht="96">
      <c r="B79" s="61">
        <f t="shared" si="3"/>
        <v>66</v>
      </c>
      <c r="C79" s="57" t="s">
        <v>311</v>
      </c>
      <c r="D79" s="114">
        <f>'Self-Assessment'!D101</f>
        <v>0</v>
      </c>
      <c r="E79" s="57" t="s">
        <v>400</v>
      </c>
      <c r="F79" s="42"/>
      <c r="H79" s="8">
        <v>1</v>
      </c>
      <c r="Q79" s="10">
        <v>1</v>
      </c>
      <c r="T79" s="10">
        <v>1</v>
      </c>
    </row>
    <row r="80" spans="2:20" ht="64">
      <c r="B80" s="61">
        <f t="shared" si="3"/>
        <v>67</v>
      </c>
      <c r="C80" s="58" t="s">
        <v>245</v>
      </c>
      <c r="D80" s="115">
        <f>'Self-Assessment'!D102</f>
        <v>0</v>
      </c>
      <c r="E80" s="58" t="s">
        <v>401</v>
      </c>
      <c r="F80" s="42"/>
      <c r="H80" s="8">
        <v>1</v>
      </c>
      <c r="J80" s="9">
        <v>1</v>
      </c>
      <c r="N80" s="9">
        <v>1</v>
      </c>
      <c r="Q80" s="10">
        <v>1</v>
      </c>
      <c r="R80" s="9">
        <v>1</v>
      </c>
    </row>
    <row r="81" spans="2:20" ht="65" thickBot="1">
      <c r="B81" s="61">
        <f t="shared" si="3"/>
        <v>68</v>
      </c>
      <c r="C81" s="60" t="s">
        <v>246</v>
      </c>
      <c r="D81" s="116">
        <f>'Self-Assessment'!D103</f>
        <v>0</v>
      </c>
      <c r="E81" s="60" t="s">
        <v>355</v>
      </c>
      <c r="F81" s="42"/>
      <c r="H81" s="8">
        <v>1</v>
      </c>
      <c r="K81" s="9">
        <v>1</v>
      </c>
      <c r="Q81" s="10">
        <v>1</v>
      </c>
      <c r="R81" s="9">
        <v>1</v>
      </c>
      <c r="T81" s="10">
        <v>1</v>
      </c>
    </row>
    <row r="82" spans="2:20" ht="21">
      <c r="B82" s="39"/>
      <c r="C82" s="55"/>
      <c r="D82" s="56"/>
      <c r="E82" s="56"/>
      <c r="F82" s="42"/>
    </row>
    <row r="83" spans="2:20" ht="16">
      <c r="B83" s="107">
        <f>B81</f>
        <v>68</v>
      </c>
      <c r="C83" s="31" t="s">
        <v>247</v>
      </c>
      <c r="D83" s="32" t="s">
        <v>328</v>
      </c>
      <c r="E83" s="113" t="s">
        <v>320</v>
      </c>
      <c r="F83" s="42"/>
      <c r="H83" s="119">
        <v>1</v>
      </c>
      <c r="I83" s="120">
        <v>1</v>
      </c>
      <c r="J83" s="120">
        <v>1</v>
      </c>
      <c r="K83" s="120">
        <v>1</v>
      </c>
      <c r="L83" s="120">
        <v>1</v>
      </c>
      <c r="M83" s="121">
        <v>1</v>
      </c>
      <c r="N83" s="120">
        <v>1</v>
      </c>
      <c r="O83" s="120">
        <v>1</v>
      </c>
      <c r="P83" s="120">
        <v>1</v>
      </c>
      <c r="Q83" s="121">
        <v>1</v>
      </c>
      <c r="R83" s="120">
        <v>1</v>
      </c>
      <c r="S83" s="120">
        <v>1</v>
      </c>
      <c r="T83" s="121">
        <v>1</v>
      </c>
    </row>
    <row r="84" spans="2:20" ht="160">
      <c r="B84" s="63">
        <f>B83+1</f>
        <v>69</v>
      </c>
      <c r="C84" s="57" t="s">
        <v>312</v>
      </c>
      <c r="D84" s="114">
        <f>'Self-Assessment'!D106</f>
        <v>1</v>
      </c>
      <c r="E84" s="57" t="s">
        <v>402</v>
      </c>
      <c r="F84" s="42"/>
      <c r="H84" s="8">
        <v>1</v>
      </c>
      <c r="I84" s="9">
        <v>1</v>
      </c>
      <c r="K84" s="9">
        <v>1</v>
      </c>
      <c r="M84" s="10">
        <v>1</v>
      </c>
      <c r="N84" s="9">
        <v>1</v>
      </c>
      <c r="O84" s="9">
        <v>1</v>
      </c>
      <c r="T84" s="10">
        <v>1</v>
      </c>
    </row>
    <row r="85" spans="2:20" ht="80">
      <c r="B85" s="63">
        <f t="shared" ref="B85:B95" si="4">B84+1</f>
        <v>70</v>
      </c>
      <c r="C85" s="58" t="s">
        <v>313</v>
      </c>
      <c r="D85" s="115">
        <f>'Self-Assessment'!D107</f>
        <v>2</v>
      </c>
      <c r="E85" s="58" t="s">
        <v>403</v>
      </c>
      <c r="F85" s="42"/>
      <c r="J85" s="9">
        <v>1</v>
      </c>
      <c r="L85" s="9">
        <v>1</v>
      </c>
      <c r="M85" s="10">
        <v>1</v>
      </c>
      <c r="O85" s="9">
        <v>1</v>
      </c>
      <c r="Q85" s="10">
        <v>1</v>
      </c>
      <c r="T85" s="10">
        <v>1</v>
      </c>
    </row>
    <row r="86" spans="2:20" ht="144">
      <c r="B86" s="63">
        <f t="shared" si="4"/>
        <v>71</v>
      </c>
      <c r="C86" s="57" t="s">
        <v>314</v>
      </c>
      <c r="D86" s="114">
        <f>'Self-Assessment'!D108</f>
        <v>1.5</v>
      </c>
      <c r="E86" s="57" t="s">
        <v>356</v>
      </c>
      <c r="F86" s="42"/>
      <c r="J86" s="9">
        <v>1</v>
      </c>
      <c r="O86" s="9">
        <v>1</v>
      </c>
      <c r="T86" s="10">
        <v>1</v>
      </c>
    </row>
    <row r="87" spans="2:20" ht="112">
      <c r="B87" s="63">
        <f t="shared" si="4"/>
        <v>72</v>
      </c>
      <c r="C87" s="58" t="s">
        <v>248</v>
      </c>
      <c r="D87" s="115">
        <f>'Self-Assessment'!D109</f>
        <v>1.5</v>
      </c>
      <c r="E87" s="58" t="s">
        <v>404</v>
      </c>
      <c r="F87" s="42"/>
      <c r="H87" s="8">
        <v>1</v>
      </c>
      <c r="N87" s="9">
        <v>1</v>
      </c>
      <c r="T87" s="10">
        <v>1</v>
      </c>
    </row>
    <row r="88" spans="2:20" ht="64">
      <c r="B88" s="63">
        <f t="shared" si="4"/>
        <v>73</v>
      </c>
      <c r="C88" s="57" t="s">
        <v>315</v>
      </c>
      <c r="D88" s="114">
        <f>'Self-Assessment'!D110</f>
        <v>1</v>
      </c>
      <c r="E88" s="57" t="s">
        <v>405</v>
      </c>
      <c r="F88" s="42"/>
      <c r="H88" s="8">
        <v>1</v>
      </c>
      <c r="K88" s="9">
        <v>1</v>
      </c>
      <c r="Q88" s="10">
        <v>1</v>
      </c>
      <c r="T88" s="10">
        <v>1</v>
      </c>
    </row>
    <row r="89" spans="2:20" ht="64">
      <c r="B89" s="63">
        <f t="shared" si="4"/>
        <v>74</v>
      </c>
      <c r="C89" s="58" t="s">
        <v>249</v>
      </c>
      <c r="D89" s="115">
        <f>'Self-Assessment'!D111</f>
        <v>0</v>
      </c>
      <c r="E89" s="58" t="s">
        <v>357</v>
      </c>
      <c r="F89" s="42"/>
      <c r="I89" s="9">
        <v>1</v>
      </c>
      <c r="Q89" s="10">
        <v>1</v>
      </c>
      <c r="T89" s="10">
        <v>1</v>
      </c>
    </row>
    <row r="90" spans="2:20" ht="80">
      <c r="B90" s="63">
        <f t="shared" si="4"/>
        <v>75</v>
      </c>
      <c r="C90" s="57" t="s">
        <v>250</v>
      </c>
      <c r="D90" s="114">
        <f>'Self-Assessment'!D112</f>
        <v>0</v>
      </c>
      <c r="E90" s="57" t="s">
        <v>406</v>
      </c>
      <c r="F90" s="42"/>
      <c r="L90" s="9">
        <v>1</v>
      </c>
      <c r="Q90" s="10">
        <v>1</v>
      </c>
      <c r="T90" s="10">
        <v>1</v>
      </c>
    </row>
    <row r="91" spans="2:20" ht="80">
      <c r="B91" s="63">
        <f t="shared" si="4"/>
        <v>76</v>
      </c>
      <c r="C91" s="58" t="s">
        <v>316</v>
      </c>
      <c r="D91" s="115">
        <f>'Self-Assessment'!D113</f>
        <v>1.5</v>
      </c>
      <c r="E91" s="58" t="s">
        <v>407</v>
      </c>
      <c r="F91" s="42"/>
      <c r="I91" s="9">
        <v>1</v>
      </c>
      <c r="Q91" s="10">
        <v>1</v>
      </c>
      <c r="S91" s="9">
        <v>1</v>
      </c>
    </row>
    <row r="92" spans="2:20" ht="80">
      <c r="B92" s="63">
        <f t="shared" si="4"/>
        <v>77</v>
      </c>
      <c r="C92" s="57" t="s">
        <v>317</v>
      </c>
      <c r="D92" s="114">
        <f>'Self-Assessment'!D114</f>
        <v>1</v>
      </c>
      <c r="E92" s="57" t="s">
        <v>408</v>
      </c>
      <c r="F92" s="42"/>
      <c r="L92" s="9">
        <v>1</v>
      </c>
      <c r="O92" s="9">
        <v>1</v>
      </c>
      <c r="P92" s="9">
        <v>1</v>
      </c>
      <c r="T92" s="10">
        <v>1</v>
      </c>
    </row>
    <row r="93" spans="2:20" ht="80">
      <c r="B93" s="63">
        <f t="shared" si="4"/>
        <v>78</v>
      </c>
      <c r="C93" s="58" t="s">
        <v>251</v>
      </c>
      <c r="D93" s="115">
        <f>'Self-Assessment'!D115</f>
        <v>1</v>
      </c>
      <c r="E93" s="58" t="s">
        <v>409</v>
      </c>
      <c r="F93" s="42"/>
      <c r="I93" s="9">
        <v>1</v>
      </c>
      <c r="Q93" s="10">
        <v>1</v>
      </c>
      <c r="T93" s="10">
        <v>1</v>
      </c>
    </row>
    <row r="94" spans="2:20" ht="62" customHeight="1">
      <c r="B94" s="63">
        <f t="shared" si="4"/>
        <v>79</v>
      </c>
      <c r="C94" s="57" t="s">
        <v>271</v>
      </c>
      <c r="D94" s="114">
        <f>'Self-Assessment'!D116</f>
        <v>0</v>
      </c>
      <c r="E94" s="57" t="s">
        <v>410</v>
      </c>
      <c r="F94" s="42"/>
      <c r="J94" s="9">
        <v>1</v>
      </c>
      <c r="Q94" s="10">
        <v>1</v>
      </c>
      <c r="R94" s="9">
        <v>1</v>
      </c>
    </row>
    <row r="95" spans="2:20" ht="81" thickBot="1">
      <c r="B95" s="63">
        <f t="shared" si="4"/>
        <v>80</v>
      </c>
      <c r="C95" s="59" t="s">
        <v>252</v>
      </c>
      <c r="D95" s="117">
        <f>'Self-Assessment'!D117</f>
        <v>0</v>
      </c>
      <c r="E95" s="59" t="s">
        <v>411</v>
      </c>
      <c r="F95" s="42"/>
      <c r="I95" s="9">
        <v>1</v>
      </c>
      <c r="Q95" s="10">
        <v>1</v>
      </c>
      <c r="T95" s="10">
        <v>1</v>
      </c>
    </row>
    <row r="96" spans="2:20" ht="16">
      <c r="B96" s="64"/>
      <c r="C96" s="65"/>
      <c r="D96" s="66"/>
      <c r="E96" s="66"/>
      <c r="F96" s="67"/>
    </row>
    <row r="97" spans="1:20" s="12" customFormat="1" ht="16">
      <c r="A97" s="4"/>
      <c r="C97" s="17"/>
      <c r="D97" s="9"/>
      <c r="E97" s="9"/>
      <c r="G97" s="4"/>
      <c r="H97" s="9"/>
      <c r="I97" s="9"/>
      <c r="J97" s="9"/>
      <c r="K97" s="9"/>
      <c r="L97" s="9"/>
      <c r="M97" s="9"/>
      <c r="N97" s="9"/>
      <c r="O97" s="9"/>
      <c r="P97" s="9"/>
      <c r="Q97" s="9"/>
      <c r="R97" s="9"/>
      <c r="S97" s="9"/>
      <c r="T97" s="9"/>
    </row>
    <row r="98" spans="1:20" ht="16" hidden="1">
      <c r="B98" s="53"/>
      <c r="F98" s="54"/>
    </row>
    <row r="99" spans="1:20" ht="16" hidden="1">
      <c r="B99" s="53"/>
      <c r="F99" s="54"/>
    </row>
    <row r="100" spans="1:20" ht="16" hidden="1">
      <c r="B100" s="53"/>
      <c r="F100" s="54"/>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52:D59 D35:D49 D84:D95 D8:D32 D63:D80"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9" max="5" man="1"/>
    <brk id="33" max="5" man="1"/>
    <brk id="61" max="5" man="1"/>
    <brk id="82" max="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dimension ref="A1:G42"/>
  <sheetViews>
    <sheetView zoomScaleNormal="100" workbookViewId="0"/>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10.83203125" style="5" hidden="1" customWidth="1"/>
    <col min="7" max="7" width="0" style="5" hidden="1" customWidth="1"/>
    <col min="8" max="16384" width="10.83203125" style="5" hidden="1"/>
  </cols>
  <sheetData>
    <row r="1" spans="1:6">
      <c r="A1" s="2"/>
      <c r="B1" s="2"/>
      <c r="C1" s="2"/>
      <c r="D1" s="3"/>
      <c r="E1" s="2"/>
    </row>
    <row r="2" spans="1:6" ht="17" thickBot="1">
      <c r="B2" s="38"/>
      <c r="C2" s="37"/>
      <c r="D2" s="41"/>
    </row>
    <row r="3" spans="1:6" ht="68" customHeight="1" thickBot="1">
      <c r="B3" s="39"/>
      <c r="C3" s="140" t="s">
        <v>1</v>
      </c>
      <c r="D3" s="42"/>
    </row>
    <row r="4" spans="1:6" ht="19">
      <c r="B4" s="39"/>
      <c r="C4" s="45" t="s">
        <v>217</v>
      </c>
      <c r="D4" s="42"/>
    </row>
    <row r="5" spans="1:6">
      <c r="B5" s="39"/>
      <c r="C5" s="52"/>
      <c r="D5" s="42"/>
    </row>
    <row r="6" spans="1:6" ht="21">
      <c r="B6" s="39"/>
      <c r="C6" s="55" t="s">
        <v>21</v>
      </c>
      <c r="D6" s="42"/>
    </row>
    <row r="7" spans="1:6" s="93" customFormat="1" ht="17">
      <c r="A7" s="89"/>
      <c r="B7" s="90"/>
      <c r="C7" s="97" t="s">
        <v>5</v>
      </c>
      <c r="D7" s="103"/>
      <c r="E7" s="94"/>
      <c r="F7" s="68"/>
    </row>
    <row r="8" spans="1:6" s="93" customFormat="1" ht="96">
      <c r="A8" s="89"/>
      <c r="B8" s="90"/>
      <c r="C8" s="88" t="s">
        <v>39</v>
      </c>
      <c r="D8" s="104"/>
      <c r="E8" s="95"/>
      <c r="F8" s="88"/>
    </row>
    <row r="9" spans="1:6" s="93" customFormat="1">
      <c r="A9" s="89"/>
      <c r="B9" s="90"/>
      <c r="C9" s="91"/>
      <c r="D9" s="92"/>
      <c r="E9" s="89"/>
    </row>
    <row r="10" spans="1:6" s="93" customFormat="1" ht="17">
      <c r="A10" s="89"/>
      <c r="B10" s="90"/>
      <c r="C10" s="97" t="s">
        <v>6</v>
      </c>
      <c r="D10" s="103"/>
      <c r="E10" s="94"/>
      <c r="F10" s="68"/>
    </row>
    <row r="11" spans="1:6" s="93" customFormat="1" ht="128">
      <c r="A11" s="89"/>
      <c r="B11" s="90"/>
      <c r="C11" s="88" t="s">
        <v>41</v>
      </c>
      <c r="D11" s="104"/>
      <c r="E11" s="95"/>
      <c r="F11" s="88"/>
    </row>
    <row r="12" spans="1:6" s="93" customFormat="1">
      <c r="A12" s="89"/>
      <c r="B12" s="90"/>
      <c r="C12" s="88"/>
      <c r="D12" s="92"/>
      <c r="E12" s="89"/>
    </row>
    <row r="13" spans="1:6" s="93" customFormat="1" ht="17">
      <c r="A13" s="89"/>
      <c r="B13" s="90"/>
      <c r="C13" s="97" t="s">
        <v>7</v>
      </c>
      <c r="D13" s="103"/>
      <c r="E13" s="94"/>
      <c r="F13" s="68"/>
    </row>
    <row r="14" spans="1:6" s="93" customFormat="1" ht="161" customHeight="1">
      <c r="A14" s="89"/>
      <c r="B14" s="90"/>
      <c r="C14" s="88" t="s">
        <v>42</v>
      </c>
      <c r="D14" s="104"/>
      <c r="E14" s="95"/>
      <c r="F14" s="88"/>
    </row>
    <row r="15" spans="1:6" s="93" customFormat="1">
      <c r="A15" s="89"/>
      <c r="B15" s="90"/>
      <c r="C15" s="98"/>
      <c r="D15" s="92"/>
      <c r="E15" s="89"/>
    </row>
    <row r="16" spans="1:6" s="93" customFormat="1" ht="17">
      <c r="A16" s="89"/>
      <c r="B16" s="90"/>
      <c r="C16" s="97" t="s">
        <v>270</v>
      </c>
      <c r="D16" s="103"/>
      <c r="E16" s="94"/>
      <c r="F16" s="68"/>
    </row>
    <row r="17" spans="1:6" s="93" customFormat="1" ht="160">
      <c r="A17" s="89"/>
      <c r="B17" s="90"/>
      <c r="C17" s="88" t="s">
        <v>45</v>
      </c>
      <c r="D17" s="104"/>
      <c r="E17" s="95"/>
      <c r="F17" s="88"/>
    </row>
    <row r="18" spans="1:6" s="93" customFormat="1">
      <c r="A18" s="89"/>
      <c r="B18" s="90"/>
      <c r="C18" s="98"/>
      <c r="D18" s="92"/>
      <c r="E18" s="89"/>
    </row>
    <row r="19" spans="1:6" s="93" customFormat="1" ht="17">
      <c r="A19" s="89"/>
      <c r="B19" s="90"/>
      <c r="C19" s="97" t="s">
        <v>8</v>
      </c>
      <c r="D19" s="103"/>
      <c r="E19" s="94"/>
      <c r="F19" s="68"/>
    </row>
    <row r="20" spans="1:6" s="93" customFormat="1" ht="160">
      <c r="A20" s="89"/>
      <c r="B20" s="90"/>
      <c r="C20" s="88" t="s">
        <v>43</v>
      </c>
      <c r="D20" s="104"/>
      <c r="E20" s="95"/>
      <c r="F20" s="88"/>
    </row>
    <row r="21" spans="1:6" s="93" customFormat="1">
      <c r="A21" s="89"/>
      <c r="B21" s="90"/>
      <c r="C21" s="88"/>
      <c r="D21" s="104"/>
      <c r="E21" s="96"/>
      <c r="F21" s="46"/>
    </row>
    <row r="22" spans="1:6" s="93" customFormat="1" ht="17">
      <c r="A22" s="89"/>
      <c r="B22" s="90"/>
      <c r="C22" s="97" t="s">
        <v>9</v>
      </c>
      <c r="D22" s="103"/>
      <c r="E22" s="94"/>
      <c r="F22" s="68"/>
    </row>
    <row r="23" spans="1:6" s="93" customFormat="1" ht="160">
      <c r="A23" s="89"/>
      <c r="B23" s="90"/>
      <c r="C23" s="88" t="s">
        <v>44</v>
      </c>
      <c r="D23" s="104"/>
      <c r="E23" s="95"/>
      <c r="F23" s="88"/>
    </row>
    <row r="24" spans="1:6" s="93" customFormat="1">
      <c r="A24" s="89"/>
      <c r="B24" s="90"/>
      <c r="C24" s="46"/>
      <c r="D24" s="105"/>
      <c r="E24" s="96"/>
      <c r="F24" s="46"/>
    </row>
    <row r="25" spans="1:6" s="93" customFormat="1" ht="22">
      <c r="A25" s="89"/>
      <c r="B25" s="90"/>
      <c r="C25" s="99" t="s">
        <v>253</v>
      </c>
      <c r="D25" s="92"/>
      <c r="E25" s="89"/>
    </row>
    <row r="26" spans="1:6" s="93" customFormat="1" ht="17">
      <c r="A26" s="89"/>
      <c r="B26" s="90"/>
      <c r="C26" s="100" t="s">
        <v>261</v>
      </c>
      <c r="D26" s="92"/>
      <c r="E26" s="89"/>
    </row>
    <row r="27" spans="1:6" s="93" customFormat="1" ht="48">
      <c r="A27" s="89"/>
      <c r="B27" s="90"/>
      <c r="C27" s="101" t="s">
        <v>262</v>
      </c>
      <c r="D27" s="92"/>
      <c r="E27" s="89"/>
    </row>
    <row r="28" spans="1:6" s="93" customFormat="1" ht="17">
      <c r="A28" s="89"/>
      <c r="B28" s="90"/>
      <c r="C28" s="100" t="s">
        <v>33</v>
      </c>
      <c r="D28" s="92"/>
      <c r="E28" s="89"/>
    </row>
    <row r="29" spans="1:6" s="93" customFormat="1" ht="64">
      <c r="A29" s="89"/>
      <c r="B29" s="90"/>
      <c r="C29" s="101" t="s">
        <v>263</v>
      </c>
      <c r="D29" s="92"/>
      <c r="E29" s="89"/>
    </row>
    <row r="30" spans="1:6" s="93" customFormat="1" ht="17">
      <c r="A30" s="89"/>
      <c r="B30" s="90"/>
      <c r="C30" s="100" t="s">
        <v>264</v>
      </c>
      <c r="D30" s="92"/>
      <c r="E30" s="89"/>
    </row>
    <row r="31" spans="1:6" s="93" customFormat="1" ht="64">
      <c r="A31" s="89"/>
      <c r="B31" s="90"/>
      <c r="C31" s="101" t="s">
        <v>265</v>
      </c>
      <c r="D31" s="92"/>
      <c r="E31" s="89"/>
    </row>
    <row r="32" spans="1:6" s="93" customFormat="1" ht="17">
      <c r="A32" s="89"/>
      <c r="B32" s="90"/>
      <c r="C32" s="100" t="s">
        <v>35</v>
      </c>
      <c r="D32" s="92"/>
      <c r="E32" s="89"/>
    </row>
    <row r="33" spans="1:5" s="93" customFormat="1" ht="64">
      <c r="A33" s="89"/>
      <c r="B33" s="90"/>
      <c r="C33" s="101" t="s">
        <v>266</v>
      </c>
      <c r="D33" s="92"/>
      <c r="E33" s="89"/>
    </row>
    <row r="34" spans="1:5" s="93" customFormat="1" ht="21">
      <c r="A34" s="89"/>
      <c r="B34" s="90"/>
      <c r="C34" s="102"/>
      <c r="D34" s="92"/>
      <c r="E34" s="89"/>
    </row>
    <row r="35" spans="1:5" s="93" customFormat="1" ht="22">
      <c r="A35" s="89"/>
      <c r="B35" s="90"/>
      <c r="C35" s="99" t="s">
        <v>31</v>
      </c>
      <c r="D35" s="92"/>
      <c r="E35" s="89"/>
    </row>
    <row r="36" spans="1:5" s="93" customFormat="1" ht="17">
      <c r="A36" s="89"/>
      <c r="B36" s="90"/>
      <c r="C36" s="100" t="s">
        <v>36</v>
      </c>
      <c r="D36" s="92"/>
      <c r="E36" s="89"/>
    </row>
    <row r="37" spans="1:5" s="93" customFormat="1" ht="80">
      <c r="A37" s="89"/>
      <c r="B37" s="90"/>
      <c r="C37" s="101" t="s">
        <v>267</v>
      </c>
      <c r="D37" s="92"/>
      <c r="E37" s="89"/>
    </row>
    <row r="38" spans="1:5" s="93" customFormat="1" ht="17">
      <c r="A38" s="89"/>
      <c r="B38" s="90"/>
      <c r="C38" s="100" t="s">
        <v>37</v>
      </c>
      <c r="D38" s="92"/>
      <c r="E38" s="89"/>
    </row>
    <row r="39" spans="1:5" s="93" customFormat="1" ht="96">
      <c r="A39" s="89"/>
      <c r="B39" s="90"/>
      <c r="C39" s="101" t="s">
        <v>268</v>
      </c>
      <c r="D39" s="92"/>
      <c r="E39" s="89"/>
    </row>
    <row r="40" spans="1:5" s="93" customFormat="1" ht="17">
      <c r="A40" s="89"/>
      <c r="B40" s="90"/>
      <c r="C40" s="100" t="s">
        <v>38</v>
      </c>
      <c r="D40" s="92"/>
      <c r="E40" s="89"/>
    </row>
    <row r="41" spans="1:5" ht="80">
      <c r="B41" s="64"/>
      <c r="C41" s="106" t="s">
        <v>269</v>
      </c>
      <c r="D41" s="67"/>
    </row>
    <row r="42" spans="1:5">
      <c r="A42" s="2"/>
      <c r="B42" s="2"/>
      <c r="C42" s="2"/>
      <c r="D42" s="3"/>
      <c r="E42" s="2"/>
    </row>
  </sheetData>
  <sheetProtection sheet="1" objects="1" scenarios="1"/>
  <pageMargins left="0.7" right="0.7" top="0.75" bottom="0.75" header="0.3" footer="0.3"/>
  <pageSetup scale="82" orientation="portrait" horizontalDpi="0" verticalDpi="0"/>
  <rowBreaks count="2" manualBreakCount="2">
    <brk id="18" max="4" man="1"/>
    <brk id="34"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dimension ref="A1:D99"/>
  <sheetViews>
    <sheetView topLeftCell="A2" workbookViewId="0">
      <selection activeCell="F32" sqref="F32"/>
    </sheetView>
  </sheetViews>
  <sheetFormatPr baseColWidth="10" defaultRowHeight="16"/>
  <sheetData>
    <row r="1" spans="1:4">
      <c r="A1" t="s">
        <v>56</v>
      </c>
      <c r="B1" t="s">
        <v>64</v>
      </c>
      <c r="C1" t="s">
        <v>210</v>
      </c>
    </row>
    <row r="2" spans="1:4">
      <c r="A2" t="s">
        <v>159</v>
      </c>
      <c r="B2" t="s">
        <v>160</v>
      </c>
      <c r="C2" t="str">
        <f>B2&amp;" - "&amp;A2</f>
        <v>Argentina - Buenos Aires</v>
      </c>
      <c r="D2" s="1"/>
    </row>
    <row r="3" spans="1:4">
      <c r="A3" t="s">
        <v>114</v>
      </c>
      <c r="B3" t="s">
        <v>115</v>
      </c>
      <c r="C3" t="str">
        <f t="shared" ref="C3:C66" si="0">B3&amp;" - "&amp;A3</f>
        <v>Australia - Melbourne</v>
      </c>
      <c r="D3" s="1"/>
    </row>
    <row r="4" spans="1:4">
      <c r="A4" t="s">
        <v>121</v>
      </c>
      <c r="B4" t="s">
        <v>115</v>
      </c>
      <c r="C4" t="str">
        <f t="shared" si="0"/>
        <v>Australia - Sydney</v>
      </c>
      <c r="D4" s="1"/>
    </row>
    <row r="5" spans="1:4">
      <c r="A5" t="s">
        <v>202</v>
      </c>
      <c r="B5" t="s">
        <v>203</v>
      </c>
      <c r="C5" t="str">
        <f t="shared" si="0"/>
        <v>Bangladesh - Dhaka (North &amp; South)</v>
      </c>
      <c r="D5" s="1"/>
    </row>
    <row r="6" spans="1:4">
      <c r="A6" t="s">
        <v>161</v>
      </c>
      <c r="B6" t="s">
        <v>162</v>
      </c>
      <c r="C6" t="str">
        <f t="shared" si="0"/>
        <v>Brazil - Curitiba</v>
      </c>
      <c r="D6" s="1"/>
    </row>
    <row r="7" spans="1:4">
      <c r="A7" t="s">
        <v>163</v>
      </c>
      <c r="B7" t="s">
        <v>162</v>
      </c>
      <c r="C7" t="str">
        <f t="shared" si="0"/>
        <v>Brazil - Fortaleza</v>
      </c>
      <c r="D7" s="1"/>
    </row>
    <row r="8" spans="1:4">
      <c r="A8" t="s">
        <v>172</v>
      </c>
      <c r="B8" t="s">
        <v>162</v>
      </c>
      <c r="C8" t="str">
        <f t="shared" si="0"/>
        <v>Brazil - Rio de Janeiro</v>
      </c>
      <c r="D8" s="1"/>
    </row>
    <row r="9" spans="1:4">
      <c r="A9" t="s">
        <v>173</v>
      </c>
      <c r="B9" t="s">
        <v>162</v>
      </c>
      <c r="C9" t="str">
        <f t="shared" si="0"/>
        <v>Brazil - Salvador</v>
      </c>
      <c r="D9" s="1"/>
    </row>
    <row r="10" spans="1:4">
      <c r="A10" t="s">
        <v>176</v>
      </c>
      <c r="B10" t="s">
        <v>162</v>
      </c>
      <c r="C10" t="str">
        <f t="shared" si="0"/>
        <v>Brazil - São Paulo</v>
      </c>
      <c r="D10" s="1"/>
    </row>
    <row r="11" spans="1:4">
      <c r="A11" t="s">
        <v>184</v>
      </c>
      <c r="B11" t="s">
        <v>185</v>
      </c>
      <c r="C11" t="str">
        <f t="shared" si="0"/>
        <v>Canada - Montréal</v>
      </c>
      <c r="D11" s="1"/>
    </row>
    <row r="12" spans="1:4">
      <c r="A12" t="s">
        <v>193</v>
      </c>
      <c r="B12" t="s">
        <v>185</v>
      </c>
      <c r="C12" t="str">
        <f t="shared" si="0"/>
        <v>Canada - Toronto</v>
      </c>
      <c r="D12" s="1"/>
    </row>
    <row r="13" spans="1:4">
      <c r="A13" t="s">
        <v>194</v>
      </c>
      <c r="B13" t="s">
        <v>185</v>
      </c>
      <c r="C13" t="str">
        <f t="shared" si="0"/>
        <v>Canada - Vancouver</v>
      </c>
      <c r="D13" s="1"/>
    </row>
    <row r="14" spans="1:4">
      <c r="A14" t="s">
        <v>174</v>
      </c>
      <c r="B14" t="s">
        <v>175</v>
      </c>
      <c r="C14" t="str">
        <f t="shared" si="0"/>
        <v>Chile - Santiago</v>
      </c>
      <c r="D14" s="1"/>
    </row>
    <row r="15" spans="1:4">
      <c r="A15" t="s">
        <v>89</v>
      </c>
      <c r="B15" t="s">
        <v>90</v>
      </c>
      <c r="C15" t="str">
        <f t="shared" si="0"/>
        <v>China - Beijing</v>
      </c>
      <c r="D15" s="1"/>
    </row>
    <row r="16" spans="1:4">
      <c r="A16" t="s">
        <v>91</v>
      </c>
      <c r="B16" t="s">
        <v>90</v>
      </c>
      <c r="C16" t="str">
        <f t="shared" si="0"/>
        <v>China - Chengdu</v>
      </c>
      <c r="D16" s="1"/>
    </row>
    <row r="17" spans="1:4">
      <c r="A17" t="s">
        <v>92</v>
      </c>
      <c r="B17" t="s">
        <v>90</v>
      </c>
      <c r="C17" t="str">
        <f t="shared" si="0"/>
        <v>China - Dalian</v>
      </c>
      <c r="D17" s="1"/>
    </row>
    <row r="18" spans="1:4">
      <c r="A18" t="s">
        <v>93</v>
      </c>
      <c r="B18" t="s">
        <v>90</v>
      </c>
      <c r="C18" t="str">
        <f t="shared" si="0"/>
        <v>China - Fuzhou</v>
      </c>
      <c r="D18" s="1"/>
    </row>
    <row r="19" spans="1:4">
      <c r="A19" t="s">
        <v>94</v>
      </c>
      <c r="B19" t="s">
        <v>90</v>
      </c>
      <c r="C19" t="str">
        <f t="shared" si="0"/>
        <v>China - Guangzhou</v>
      </c>
      <c r="D19" s="1"/>
    </row>
    <row r="20" spans="1:4">
      <c r="A20" t="s">
        <v>95</v>
      </c>
      <c r="B20" t="s">
        <v>90</v>
      </c>
      <c r="C20" t="str">
        <f t="shared" si="0"/>
        <v>China - Hangzhou</v>
      </c>
      <c r="D20" s="1"/>
    </row>
    <row r="21" spans="1:4">
      <c r="A21" t="s">
        <v>96</v>
      </c>
      <c r="B21" t="s">
        <v>90</v>
      </c>
      <c r="C21" t="str">
        <f t="shared" si="0"/>
        <v>China - Hong Kong</v>
      </c>
      <c r="D21" s="1"/>
    </row>
    <row r="22" spans="1:4">
      <c r="A22" t="s">
        <v>97</v>
      </c>
      <c r="B22" t="s">
        <v>90</v>
      </c>
      <c r="C22" t="str">
        <f t="shared" si="0"/>
        <v>China - Nanjing</v>
      </c>
      <c r="D22" s="1"/>
    </row>
    <row r="23" spans="1:4">
      <c r="A23" t="s">
        <v>98</v>
      </c>
      <c r="B23" t="s">
        <v>90</v>
      </c>
      <c r="C23" t="str">
        <f t="shared" si="0"/>
        <v>China - Qingdao</v>
      </c>
      <c r="D23" s="1"/>
    </row>
    <row r="24" spans="1:4">
      <c r="A24" t="s">
        <v>99</v>
      </c>
      <c r="B24" t="s">
        <v>90</v>
      </c>
      <c r="C24" t="str">
        <f t="shared" si="0"/>
        <v>China - Shanghai</v>
      </c>
      <c r="D24" s="1"/>
    </row>
    <row r="25" spans="1:4">
      <c r="A25" t="s">
        <v>100</v>
      </c>
      <c r="B25" t="s">
        <v>90</v>
      </c>
      <c r="C25" t="str">
        <f t="shared" si="0"/>
        <v>China - Shenzhen</v>
      </c>
      <c r="D25" s="1"/>
    </row>
    <row r="26" spans="1:4">
      <c r="A26" t="s">
        <v>101</v>
      </c>
      <c r="B26" t="s">
        <v>90</v>
      </c>
      <c r="C26" t="str">
        <f t="shared" si="0"/>
        <v>China - Wuhan</v>
      </c>
      <c r="D26" s="1"/>
    </row>
    <row r="27" spans="1:4">
      <c r="A27" t="s">
        <v>102</v>
      </c>
      <c r="B27" t="s">
        <v>90</v>
      </c>
      <c r="C27" t="str">
        <f t="shared" si="0"/>
        <v>China - Zhenjiang</v>
      </c>
      <c r="D27" s="1"/>
    </row>
    <row r="28" spans="1:4">
      <c r="A28" t="s">
        <v>157</v>
      </c>
      <c r="B28" t="s">
        <v>158</v>
      </c>
      <c r="C28" t="str">
        <f t="shared" si="0"/>
        <v>Colombia - Bogotá</v>
      </c>
      <c r="D28" s="1"/>
    </row>
    <row r="29" spans="1:4">
      <c r="A29" t="s">
        <v>168</v>
      </c>
      <c r="B29" t="s">
        <v>158</v>
      </c>
      <c r="C29" t="str">
        <f t="shared" si="0"/>
        <v>Colombia - Medellín</v>
      </c>
      <c r="D29" s="1"/>
    </row>
    <row r="30" spans="1:4">
      <c r="A30" t="s">
        <v>65</v>
      </c>
      <c r="B30" t="s">
        <v>66</v>
      </c>
      <c r="C30" t="str">
        <f t="shared" si="0"/>
        <v>Côte d’Ivoire - Abidjan</v>
      </c>
      <c r="D30" s="1"/>
    </row>
    <row r="31" spans="1:4">
      <c r="A31" t="s">
        <v>133</v>
      </c>
      <c r="B31" t="s">
        <v>134</v>
      </c>
      <c r="C31" t="str">
        <f t="shared" si="0"/>
        <v>Denmark - Copenhagen</v>
      </c>
      <c r="D31" s="1"/>
    </row>
    <row r="32" spans="1:4">
      <c r="A32" t="s">
        <v>170</v>
      </c>
      <c r="B32" t="s">
        <v>171</v>
      </c>
      <c r="C32" t="str">
        <f t="shared" si="0"/>
        <v>Ecuador - Quito</v>
      </c>
      <c r="D32" s="1"/>
    </row>
    <row r="33" spans="1:4">
      <c r="A33" t="s">
        <v>69</v>
      </c>
      <c r="B33" t="s">
        <v>70</v>
      </c>
      <c r="C33" t="str">
        <f t="shared" si="0"/>
        <v>Ethiopia - Addis Ababa</v>
      </c>
      <c r="D33" s="1"/>
    </row>
    <row r="34" spans="1:4">
      <c r="A34" t="s">
        <v>147</v>
      </c>
      <c r="B34" t="s">
        <v>148</v>
      </c>
      <c r="C34" t="str">
        <f t="shared" si="0"/>
        <v>France - Paris</v>
      </c>
      <c r="D34" s="1"/>
    </row>
    <row r="35" spans="1:4">
      <c r="A35" t="s">
        <v>131</v>
      </c>
      <c r="B35" t="s">
        <v>132</v>
      </c>
      <c r="C35" t="str">
        <f t="shared" si="0"/>
        <v>Germany - Berlin</v>
      </c>
      <c r="D35" s="1"/>
    </row>
    <row r="36" spans="1:4">
      <c r="A36" t="s">
        <v>135</v>
      </c>
      <c r="B36" t="s">
        <v>132</v>
      </c>
      <c r="C36" t="str">
        <f t="shared" si="0"/>
        <v>Germany - Heidelberg</v>
      </c>
      <c r="D36" s="1"/>
    </row>
    <row r="37" spans="1:4">
      <c r="A37" t="s">
        <v>67</v>
      </c>
      <c r="B37" t="s">
        <v>68</v>
      </c>
      <c r="C37" t="str">
        <f t="shared" si="0"/>
        <v>Ghana - Accra</v>
      </c>
      <c r="D37" s="1"/>
    </row>
    <row r="38" spans="1:4">
      <c r="A38" t="s">
        <v>127</v>
      </c>
      <c r="B38" t="s">
        <v>128</v>
      </c>
      <c r="C38" t="str">
        <f t="shared" si="0"/>
        <v>Greece - Athens</v>
      </c>
      <c r="D38" s="1"/>
    </row>
    <row r="39" spans="1:4">
      <c r="A39" t="s">
        <v>195</v>
      </c>
      <c r="B39" t="s">
        <v>196</v>
      </c>
      <c r="C39" t="str">
        <f t="shared" si="0"/>
        <v>India - Ahmedabad</v>
      </c>
      <c r="D39" s="1"/>
    </row>
    <row r="40" spans="1:4">
      <c r="A40" t="s">
        <v>199</v>
      </c>
      <c r="B40" t="s">
        <v>196</v>
      </c>
      <c r="C40" t="str">
        <f t="shared" si="0"/>
        <v>India - Bengaluru</v>
      </c>
      <c r="D40" s="1"/>
    </row>
    <row r="41" spans="1:4">
      <c r="A41" t="s">
        <v>200</v>
      </c>
      <c r="B41" t="s">
        <v>196</v>
      </c>
      <c r="C41" t="str">
        <f t="shared" si="0"/>
        <v>India - Chennai</v>
      </c>
      <c r="D41" s="1"/>
    </row>
    <row r="42" spans="1:4">
      <c r="A42" t="s">
        <v>201</v>
      </c>
      <c r="B42" t="s">
        <v>196</v>
      </c>
      <c r="C42" t="str">
        <f t="shared" si="0"/>
        <v>India - Delhi NCT</v>
      </c>
      <c r="D42" s="1"/>
    </row>
    <row r="43" spans="1:4">
      <c r="A43" t="s">
        <v>208</v>
      </c>
      <c r="B43" t="s">
        <v>196</v>
      </c>
      <c r="C43" t="str">
        <f t="shared" si="0"/>
        <v>India - Mumbai</v>
      </c>
      <c r="D43" s="1"/>
    </row>
    <row r="44" spans="1:4">
      <c r="A44" t="s">
        <v>110</v>
      </c>
      <c r="B44" t="s">
        <v>111</v>
      </c>
      <c r="C44" t="str">
        <f t="shared" si="0"/>
        <v>Indonesia - Jakarta</v>
      </c>
      <c r="D44" s="1"/>
    </row>
    <row r="45" spans="1:4">
      <c r="A45" t="s">
        <v>153</v>
      </c>
      <c r="B45" t="s">
        <v>154</v>
      </c>
      <c r="C45" t="str">
        <f t="shared" si="0"/>
        <v>Israel - Tel Aviv - Yafo</v>
      </c>
      <c r="D45" s="1"/>
    </row>
    <row r="46" spans="1:4">
      <c r="A46" t="s">
        <v>143</v>
      </c>
      <c r="B46" t="s">
        <v>144</v>
      </c>
      <c r="C46" t="str">
        <f t="shared" si="0"/>
        <v>Italy - Milan</v>
      </c>
      <c r="D46" s="1"/>
    </row>
    <row r="47" spans="1:4">
      <c r="A47" t="s">
        <v>149</v>
      </c>
      <c r="B47" t="s">
        <v>144</v>
      </c>
      <c r="C47" t="str">
        <f t="shared" si="0"/>
        <v>Italy - Rome</v>
      </c>
      <c r="D47" s="1"/>
    </row>
    <row r="48" spans="1:4">
      <c r="A48" t="s">
        <v>122</v>
      </c>
      <c r="B48" t="s">
        <v>123</v>
      </c>
      <c r="C48" t="str">
        <f t="shared" si="0"/>
        <v>Japan - Tokyo</v>
      </c>
      <c r="D48" s="1"/>
    </row>
    <row r="49" spans="1:4">
      <c r="A49" t="s">
        <v>124</v>
      </c>
      <c r="B49" t="s">
        <v>123</v>
      </c>
      <c r="C49" t="str">
        <f t="shared" si="0"/>
        <v>Japan - Yokohama</v>
      </c>
      <c r="D49" s="1"/>
    </row>
    <row r="50" spans="1:4">
      <c r="A50" t="s">
        <v>197</v>
      </c>
      <c r="B50" t="s">
        <v>198</v>
      </c>
      <c r="C50" t="str">
        <f t="shared" si="0"/>
        <v>Jordan - Amman</v>
      </c>
      <c r="D50" s="1"/>
    </row>
    <row r="51" spans="1:4">
      <c r="A51" t="s">
        <v>86</v>
      </c>
      <c r="B51" t="s">
        <v>87</v>
      </c>
      <c r="C51" t="str">
        <f t="shared" si="0"/>
        <v>Kenya - Nairobi</v>
      </c>
      <c r="D51" s="1"/>
    </row>
    <row r="52" spans="1:4">
      <c r="A52" t="s">
        <v>112</v>
      </c>
      <c r="B52" t="s">
        <v>113</v>
      </c>
      <c r="C52" t="str">
        <f t="shared" si="0"/>
        <v>Malaysia - Kuala Lumpur</v>
      </c>
      <c r="D52" s="1"/>
    </row>
    <row r="53" spans="1:4">
      <c r="A53" t="s">
        <v>164</v>
      </c>
      <c r="B53" t="s">
        <v>165</v>
      </c>
      <c r="C53" t="str">
        <f t="shared" si="0"/>
        <v>Mexico - Guadalajara</v>
      </c>
      <c r="D53" s="1"/>
    </row>
    <row r="54" spans="1:4">
      <c r="A54" t="s">
        <v>169</v>
      </c>
      <c r="B54" t="s">
        <v>165</v>
      </c>
      <c r="C54" t="str">
        <f t="shared" si="0"/>
        <v>Mexico - Mexico City</v>
      </c>
      <c r="D54" s="1"/>
    </row>
    <row r="55" spans="1:4">
      <c r="A55" t="s">
        <v>73</v>
      </c>
      <c r="B55" t="s">
        <v>74</v>
      </c>
      <c r="C55" t="str">
        <f t="shared" si="0"/>
        <v>Morocco - Casablanca</v>
      </c>
      <c r="D55" s="1"/>
    </row>
    <row r="56" spans="1:4">
      <c r="A56" t="s">
        <v>103</v>
      </c>
      <c r="B56" t="s">
        <v>104</v>
      </c>
      <c r="C56" t="str">
        <f t="shared" si="0"/>
        <v>New Zealand - Auckland</v>
      </c>
      <c r="D56" s="1"/>
    </row>
    <row r="57" spans="1:4">
      <c r="A57" t="s">
        <v>84</v>
      </c>
      <c r="B57" t="s">
        <v>85</v>
      </c>
      <c r="C57" t="str">
        <f t="shared" si="0"/>
        <v>Nigeria - Lagos</v>
      </c>
      <c r="D57" s="1"/>
    </row>
    <row r="58" spans="1:4">
      <c r="A58" t="s">
        <v>145</v>
      </c>
      <c r="B58" t="s">
        <v>146</v>
      </c>
      <c r="C58" t="str">
        <f t="shared" si="0"/>
        <v>Norway - Oslo</v>
      </c>
      <c r="D58" s="1"/>
    </row>
    <row r="59" spans="1:4">
      <c r="A59" t="s">
        <v>206</v>
      </c>
      <c r="B59" t="s">
        <v>207</v>
      </c>
      <c r="C59" t="str">
        <f t="shared" si="0"/>
        <v>Pakistan - Karachi</v>
      </c>
      <c r="D59" s="1"/>
    </row>
    <row r="60" spans="1:4">
      <c r="A60" t="s">
        <v>166</v>
      </c>
      <c r="B60" t="s">
        <v>167</v>
      </c>
      <c r="C60" t="str">
        <f t="shared" si="0"/>
        <v>Peru - Lima</v>
      </c>
      <c r="D60" s="1"/>
    </row>
    <row r="61" spans="1:4">
      <c r="A61" t="s">
        <v>155</v>
      </c>
      <c r="B61" t="s">
        <v>156</v>
      </c>
      <c r="C61" t="str">
        <f t="shared" si="0"/>
        <v>Poland - Warsaw</v>
      </c>
      <c r="D61" s="1"/>
    </row>
    <row r="62" spans="1:4">
      <c r="A62" t="s">
        <v>138</v>
      </c>
      <c r="B62" t="s">
        <v>139</v>
      </c>
      <c r="C62" t="str">
        <f t="shared" si="0"/>
        <v>Portugal - Lisbon</v>
      </c>
      <c r="D62" s="1"/>
    </row>
    <row r="63" spans="1:4">
      <c r="A63" t="s">
        <v>118</v>
      </c>
      <c r="B63" t="s">
        <v>119</v>
      </c>
      <c r="C63" t="str">
        <f t="shared" si="0"/>
        <v>Republic of Korea - Seoul</v>
      </c>
      <c r="D63" s="1"/>
    </row>
    <row r="64" spans="1:4">
      <c r="A64" t="s">
        <v>75</v>
      </c>
      <c r="B64" t="s">
        <v>76</v>
      </c>
      <c r="C64" t="str">
        <f t="shared" si="0"/>
        <v>Senegal - Dakar</v>
      </c>
      <c r="D64" s="1"/>
    </row>
    <row r="65" spans="1:4">
      <c r="A65" t="s">
        <v>81</v>
      </c>
      <c r="B65" t="s">
        <v>82</v>
      </c>
      <c r="C65" t="str">
        <f t="shared" si="0"/>
        <v>Sierra Leone - Freetown</v>
      </c>
      <c r="D65" s="1"/>
    </row>
    <row r="66" spans="1:4">
      <c r="A66" t="s">
        <v>120</v>
      </c>
      <c r="B66" t="s">
        <v>120</v>
      </c>
      <c r="C66" t="str">
        <f t="shared" si="0"/>
        <v>Singapore - Singapore</v>
      </c>
      <c r="D66" s="1"/>
    </row>
    <row r="67" spans="1:4">
      <c r="A67" t="s">
        <v>71</v>
      </c>
      <c r="B67" t="s">
        <v>72</v>
      </c>
      <c r="C67" t="str">
        <f t="shared" ref="C67:C98" si="1">B67&amp;" - "&amp;A67</f>
        <v>South Africa - Cape Town</v>
      </c>
      <c r="D67" s="1"/>
    </row>
    <row r="68" spans="1:4">
      <c r="A68" t="s">
        <v>79</v>
      </c>
      <c r="B68" t="s">
        <v>72</v>
      </c>
      <c r="C68" t="str">
        <f t="shared" si="1"/>
        <v>South Africa - Durban (eThekwini)</v>
      </c>
      <c r="D68" s="1"/>
    </row>
    <row r="69" spans="1:4">
      <c r="A69" t="s">
        <v>80</v>
      </c>
      <c r="B69" t="s">
        <v>72</v>
      </c>
      <c r="C69" t="str">
        <f t="shared" si="1"/>
        <v>South Africa - Ekurhuleni</v>
      </c>
      <c r="D69" s="1"/>
    </row>
    <row r="70" spans="1:4">
      <c r="A70" t="s">
        <v>83</v>
      </c>
      <c r="B70" t="s">
        <v>72</v>
      </c>
      <c r="C70" t="str">
        <f t="shared" si="1"/>
        <v>South Africa - Johannesburg</v>
      </c>
      <c r="D70" s="1"/>
    </row>
    <row r="71" spans="1:4">
      <c r="A71" t="s">
        <v>88</v>
      </c>
      <c r="B71" t="s">
        <v>72</v>
      </c>
      <c r="C71" t="str">
        <f t="shared" si="1"/>
        <v>South Africa - Tshwane</v>
      </c>
      <c r="D71" s="1"/>
    </row>
    <row r="72" spans="1:4">
      <c r="A72" t="s">
        <v>129</v>
      </c>
      <c r="B72" t="s">
        <v>130</v>
      </c>
      <c r="C72" t="str">
        <f t="shared" si="1"/>
        <v>Spain - Barcelona</v>
      </c>
      <c r="D72" s="1"/>
    </row>
    <row r="73" spans="1:4">
      <c r="A73" t="s">
        <v>142</v>
      </c>
      <c r="B73" t="s">
        <v>130</v>
      </c>
      <c r="C73" t="str">
        <f t="shared" si="1"/>
        <v>Spain - Madrid</v>
      </c>
      <c r="D73" s="1"/>
    </row>
    <row r="74" spans="1:4">
      <c r="A74" t="s">
        <v>151</v>
      </c>
      <c r="B74" t="s">
        <v>152</v>
      </c>
      <c r="C74" t="str">
        <f t="shared" si="1"/>
        <v>Sweden - Stockholm</v>
      </c>
      <c r="D74" s="1"/>
    </row>
    <row r="75" spans="1:4">
      <c r="A75" t="s">
        <v>77</v>
      </c>
      <c r="B75" t="s">
        <v>78</v>
      </c>
      <c r="C75" t="str">
        <f t="shared" si="1"/>
        <v>Tanzania - Dar es Salaam</v>
      </c>
      <c r="D75" s="1"/>
    </row>
    <row r="76" spans="1:4">
      <c r="A76" t="s">
        <v>105</v>
      </c>
      <c r="B76" t="s">
        <v>106</v>
      </c>
      <c r="C76" t="str">
        <f t="shared" si="1"/>
        <v>Thailand - Bangkok</v>
      </c>
      <c r="D76" s="1"/>
    </row>
    <row r="77" spans="1:4">
      <c r="A77" t="s">
        <v>125</v>
      </c>
      <c r="B77" t="s">
        <v>126</v>
      </c>
      <c r="C77" t="str">
        <f t="shared" si="1"/>
        <v>The Netherlands - Amsterdam</v>
      </c>
      <c r="D77" s="1"/>
    </row>
    <row r="78" spans="1:4">
      <c r="A78" t="s">
        <v>150</v>
      </c>
      <c r="B78" t="s">
        <v>126</v>
      </c>
      <c r="C78" t="str">
        <f t="shared" si="1"/>
        <v>The Netherlands - Rotterdam</v>
      </c>
      <c r="D78" s="1"/>
    </row>
    <row r="79" spans="1:4">
      <c r="A79" t="s">
        <v>116</v>
      </c>
      <c r="B79" t="s">
        <v>117</v>
      </c>
      <c r="C79" t="str">
        <f t="shared" si="1"/>
        <v>The Philippines - Quezon City</v>
      </c>
      <c r="D79" s="1"/>
    </row>
    <row r="80" spans="1:4">
      <c r="A80" t="s">
        <v>136</v>
      </c>
      <c r="B80" t="s">
        <v>137</v>
      </c>
      <c r="C80" t="str">
        <f t="shared" si="1"/>
        <v>Turkey - Istanbul</v>
      </c>
      <c r="D80" s="1"/>
    </row>
    <row r="81" spans="1:4">
      <c r="A81" t="s">
        <v>204</v>
      </c>
      <c r="B81" t="s">
        <v>205</v>
      </c>
      <c r="C81" t="str">
        <f t="shared" si="1"/>
        <v>United Arab Emirates - Dubai</v>
      </c>
      <c r="D81" s="1"/>
    </row>
    <row r="82" spans="1:4">
      <c r="A82" t="s">
        <v>140</v>
      </c>
      <c r="B82" t="s">
        <v>141</v>
      </c>
      <c r="C82" t="str">
        <f t="shared" si="1"/>
        <v>United Kingdom - London</v>
      </c>
      <c r="D82" s="1"/>
    </row>
    <row r="83" spans="1:4">
      <c r="A83" t="s">
        <v>177</v>
      </c>
      <c r="B83" t="s">
        <v>178</v>
      </c>
      <c r="C83" t="str">
        <f t="shared" si="1"/>
        <v>United States - Austin</v>
      </c>
      <c r="D83" s="1"/>
    </row>
    <row r="84" spans="1:4">
      <c r="A84" t="s">
        <v>179</v>
      </c>
      <c r="B84" t="s">
        <v>178</v>
      </c>
      <c r="C84" t="str">
        <f t="shared" si="1"/>
        <v>United States - Boston</v>
      </c>
      <c r="D84" s="1"/>
    </row>
    <row r="85" spans="1:4">
      <c r="A85" t="s">
        <v>180</v>
      </c>
      <c r="B85" t="s">
        <v>178</v>
      </c>
      <c r="C85" t="str">
        <f t="shared" si="1"/>
        <v>United States - Chicago</v>
      </c>
      <c r="D85" s="1"/>
    </row>
    <row r="86" spans="1:4">
      <c r="A86" t="s">
        <v>181</v>
      </c>
      <c r="B86" t="s">
        <v>178</v>
      </c>
      <c r="C86" t="str">
        <f t="shared" si="1"/>
        <v>United States - Houston</v>
      </c>
      <c r="D86" s="1"/>
    </row>
    <row r="87" spans="1:4">
      <c r="A87" t="s">
        <v>182</v>
      </c>
      <c r="B87" t="s">
        <v>178</v>
      </c>
      <c r="C87" t="str">
        <f t="shared" si="1"/>
        <v>United States - Los Angeles</v>
      </c>
      <c r="D87" s="1"/>
    </row>
    <row r="88" spans="1:4">
      <c r="A88" t="s">
        <v>183</v>
      </c>
      <c r="B88" t="s">
        <v>178</v>
      </c>
      <c r="C88" t="str">
        <f t="shared" si="1"/>
        <v>United States - Miami</v>
      </c>
      <c r="D88" s="1"/>
    </row>
    <row r="89" spans="1:4">
      <c r="A89" t="s">
        <v>186</v>
      </c>
      <c r="B89" t="s">
        <v>178</v>
      </c>
      <c r="C89" t="str">
        <f t="shared" si="1"/>
        <v>United States - New Orleans</v>
      </c>
      <c r="D89" s="1"/>
    </row>
    <row r="90" spans="1:4">
      <c r="A90" t="s">
        <v>187</v>
      </c>
      <c r="B90" t="s">
        <v>178</v>
      </c>
      <c r="C90" t="str">
        <f t="shared" si="1"/>
        <v>United States - New York City</v>
      </c>
      <c r="D90" s="1"/>
    </row>
    <row r="91" spans="1:4">
      <c r="A91" t="s">
        <v>188</v>
      </c>
      <c r="B91" t="s">
        <v>178</v>
      </c>
      <c r="C91" t="str">
        <f t="shared" si="1"/>
        <v>United States - Philadelphia</v>
      </c>
      <c r="D91" s="1"/>
    </row>
    <row r="92" spans="1:4">
      <c r="A92" t="s">
        <v>189</v>
      </c>
      <c r="B92" t="s">
        <v>178</v>
      </c>
      <c r="C92" t="str">
        <f t="shared" si="1"/>
        <v>United States - Phoenix</v>
      </c>
      <c r="D92" s="1"/>
    </row>
    <row r="93" spans="1:4">
      <c r="A93" t="s">
        <v>190</v>
      </c>
      <c r="B93" t="s">
        <v>178</v>
      </c>
      <c r="C93" t="str">
        <f t="shared" si="1"/>
        <v>United States - Portland</v>
      </c>
      <c r="D93" s="1"/>
    </row>
    <row r="94" spans="1:4">
      <c r="A94" t="s">
        <v>191</v>
      </c>
      <c r="B94" t="s">
        <v>178</v>
      </c>
      <c r="C94" t="str">
        <f t="shared" si="1"/>
        <v>United States - San Francisco</v>
      </c>
      <c r="D94" s="1"/>
    </row>
    <row r="95" spans="1:4">
      <c r="A95" t="s">
        <v>192</v>
      </c>
      <c r="B95" t="s">
        <v>178</v>
      </c>
      <c r="C95" t="str">
        <f t="shared" si="1"/>
        <v>United States - Seattle</v>
      </c>
      <c r="D95" s="1"/>
    </row>
    <row r="96" spans="1:4">
      <c r="A96" t="s">
        <v>209</v>
      </c>
      <c r="B96" t="s">
        <v>178</v>
      </c>
      <c r="C96" t="str">
        <f t="shared" si="1"/>
        <v>United States - Washington DC</v>
      </c>
      <c r="D96" s="1"/>
    </row>
    <row r="97" spans="1:4">
      <c r="A97" t="s">
        <v>107</v>
      </c>
      <c r="B97" t="s">
        <v>108</v>
      </c>
      <c r="C97" t="str">
        <f t="shared" si="1"/>
        <v>Vietnam - Hanoi</v>
      </c>
      <c r="D97" s="1"/>
    </row>
    <row r="98" spans="1:4">
      <c r="A98" t="s">
        <v>109</v>
      </c>
      <c r="B98" t="s">
        <v>108</v>
      </c>
      <c r="C98" t="str">
        <f t="shared" si="1"/>
        <v>Vietnam - Ho Chi Minh City</v>
      </c>
      <c r="D98" s="1"/>
    </row>
    <row r="99" spans="1:4">
      <c r="C99" t="s">
        <v>212</v>
      </c>
    </row>
  </sheetData>
  <sheetProtection sheet="1" objects="1" scenarios="1"/>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dimension ref="A1:C14"/>
  <sheetViews>
    <sheetView workbookViewId="0">
      <selection activeCell="E7" sqref="E7"/>
    </sheetView>
  </sheetViews>
  <sheetFormatPr baseColWidth="10" defaultRowHeight="16"/>
  <cols>
    <col min="1" max="1" width="11.33203125" bestFit="1" customWidth="1"/>
    <col min="2" max="2" width="43.83203125" bestFit="1" customWidth="1"/>
    <col min="3" max="3" width="11.83203125" bestFit="1" customWidth="1"/>
  </cols>
  <sheetData>
    <row r="1" spans="1:3">
      <c r="A1" t="s">
        <v>49</v>
      </c>
      <c r="B1" t="s">
        <v>50</v>
      </c>
      <c r="C1" t="s">
        <v>48</v>
      </c>
    </row>
    <row r="2" spans="1:3">
      <c r="A2" t="s">
        <v>15</v>
      </c>
      <c r="B2" t="s">
        <v>5</v>
      </c>
      <c r="C2" t="s">
        <v>14</v>
      </c>
    </row>
    <row r="3" spans="1:3">
      <c r="A3" t="s">
        <v>16</v>
      </c>
      <c r="B3" t="s">
        <v>6</v>
      </c>
      <c r="C3" t="s">
        <v>14</v>
      </c>
    </row>
    <row r="4" spans="1:3">
      <c r="A4" t="s">
        <v>17</v>
      </c>
      <c r="B4" t="s">
        <v>7</v>
      </c>
      <c r="C4" t="s">
        <v>14</v>
      </c>
    </row>
    <row r="5" spans="1:3">
      <c r="A5" t="s">
        <v>18</v>
      </c>
      <c r="B5" t="s">
        <v>53</v>
      </c>
      <c r="C5" t="s">
        <v>14</v>
      </c>
    </row>
    <row r="6" spans="1:3">
      <c r="A6" t="s">
        <v>19</v>
      </c>
      <c r="B6" t="s">
        <v>8</v>
      </c>
      <c r="C6" t="s">
        <v>14</v>
      </c>
    </row>
    <row r="7" spans="1:3">
      <c r="A7" t="s">
        <v>20</v>
      </c>
      <c r="B7" t="s">
        <v>9</v>
      </c>
      <c r="C7" t="s">
        <v>14</v>
      </c>
    </row>
    <row r="8" spans="1:3">
      <c r="A8" t="s">
        <v>23</v>
      </c>
      <c r="B8" t="s">
        <v>32</v>
      </c>
      <c r="C8" t="s">
        <v>51</v>
      </c>
    </row>
    <row r="9" spans="1:3">
      <c r="A9" t="s">
        <v>24</v>
      </c>
      <c r="B9" t="s">
        <v>33</v>
      </c>
      <c r="C9" t="s">
        <v>51</v>
      </c>
    </row>
    <row r="10" spans="1:3">
      <c r="A10" t="s">
        <v>25</v>
      </c>
      <c r="B10" t="s">
        <v>34</v>
      </c>
      <c r="C10" t="s">
        <v>51</v>
      </c>
    </row>
    <row r="11" spans="1:3">
      <c r="A11" t="s">
        <v>26</v>
      </c>
      <c r="B11" t="s">
        <v>35</v>
      </c>
      <c r="C11" t="s">
        <v>51</v>
      </c>
    </row>
    <row r="12" spans="1:3">
      <c r="A12" t="s">
        <v>28</v>
      </c>
      <c r="B12" t="s">
        <v>36</v>
      </c>
      <c r="C12" t="s">
        <v>52</v>
      </c>
    </row>
    <row r="13" spans="1:3">
      <c r="A13" t="s">
        <v>29</v>
      </c>
      <c r="B13" t="s">
        <v>37</v>
      </c>
      <c r="C13" t="s">
        <v>52</v>
      </c>
    </row>
    <row r="14" spans="1:3">
      <c r="A14" t="s">
        <v>30</v>
      </c>
      <c r="B14" t="s">
        <v>38</v>
      </c>
      <c r="C14" t="s">
        <v>52</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dimension ref="A1:K62"/>
  <sheetViews>
    <sheetView topLeftCell="A37" zoomScaleNormal="100" workbookViewId="0">
      <selection activeCell="C3" sqref="C3"/>
    </sheetView>
  </sheetViews>
  <sheetFormatPr baseColWidth="10" defaultColWidth="0" defaultRowHeight="15" zeroHeight="1"/>
  <cols>
    <col min="1" max="1" width="2.5" style="74" customWidth="1"/>
    <col min="2" max="3" width="20.83203125" style="77" customWidth="1"/>
    <col min="4" max="4" width="23.33203125" style="77" customWidth="1"/>
    <col min="5" max="5" width="20.83203125" style="77" customWidth="1"/>
    <col min="6" max="6" width="2.5" style="74" customWidth="1"/>
    <col min="7" max="11" width="0" style="77" hidden="1" customWidth="1"/>
    <col min="12" max="16384" width="10.83203125" style="77" hidden="1"/>
  </cols>
  <sheetData>
    <row r="1" spans="1:10" s="73" customFormat="1">
      <c r="A1" s="72" t="s">
        <v>0</v>
      </c>
      <c r="F1" s="72" t="s">
        <v>0</v>
      </c>
    </row>
    <row r="2" spans="1:10" s="73" customFormat="1" ht="55" customHeight="1">
      <c r="A2" s="72"/>
      <c r="B2" s="169" t="s">
        <v>256</v>
      </c>
      <c r="C2" s="169"/>
      <c r="D2" s="169"/>
      <c r="E2" s="169"/>
      <c r="F2" s="72"/>
    </row>
    <row r="3" spans="1:10" s="73" customFormat="1">
      <c r="A3" s="72"/>
      <c r="F3" s="72"/>
    </row>
    <row r="4" spans="1:10" ht="19">
      <c r="B4" s="75" t="s">
        <v>5</v>
      </c>
      <c r="C4" s="76"/>
      <c r="D4" s="76"/>
      <c r="E4" s="76"/>
    </row>
    <row r="5" spans="1:10">
      <c r="B5" s="76"/>
      <c r="C5" s="76"/>
      <c r="D5" s="76"/>
      <c r="E5" s="76"/>
    </row>
    <row r="6" spans="1:10">
      <c r="B6" s="78"/>
      <c r="C6" s="170" t="s">
        <v>31</v>
      </c>
      <c r="D6" s="170"/>
      <c r="E6" s="170"/>
    </row>
    <row r="7" spans="1:10" ht="32">
      <c r="B7" s="79" t="s">
        <v>22</v>
      </c>
      <c r="C7" s="80" t="s">
        <v>36</v>
      </c>
      <c r="D7" s="80" t="s">
        <v>37</v>
      </c>
      <c r="E7" s="80" t="s">
        <v>38</v>
      </c>
    </row>
    <row r="8" spans="1:10" ht="33" customHeight="1">
      <c r="B8" s="81" t="s">
        <v>32</v>
      </c>
      <c r="C8" s="69">
        <f>IFERROR(COUNTIFS('Self-Assessment'!H$29:H$313,1,'Self-Assessment'!N$29:N$313,1,'Self-Assessment'!R$29:R$313,1),"")</f>
        <v>8</v>
      </c>
      <c r="D8" s="69">
        <f>IFERROR(COUNTIFS('Self-Assessment'!H$29:H$313,1,'Self-Assessment'!N$29:N$313,1,'Self-Assessment'!S$29:S$313,1),"")</f>
        <v>4</v>
      </c>
      <c r="E8" s="69">
        <f>IFERROR(COUNTIFS('Self-Assessment'!H$29:H$313,1,'Self-Assessment'!N$29:N$313,1,'Self-Assessment'!T$29:T$313,1),"")</f>
        <v>4</v>
      </c>
    </row>
    <row r="9" spans="1:10" ht="33" customHeight="1">
      <c r="B9" s="82" t="s">
        <v>33</v>
      </c>
      <c r="C9" s="70">
        <f>IFERROR(COUNTIFS('Self-Assessment'!H$29:H$313,1,'Self-Assessment'!O$29:O$313,1,'Self-Assessment'!R$29:R$313,1),"")</f>
        <v>5</v>
      </c>
      <c r="D9" s="70">
        <f>IFERROR(COUNTIFS('Self-Assessment'!H$29:H$313,1,'Self-Assessment'!O$29:O$313,1,'Self-Assessment'!S$29:S$313,1),"")</f>
        <v>2</v>
      </c>
      <c r="E9" s="70">
        <f>IFERROR(COUNTIFS('Self-Assessment'!H$29:H$313,1,'Self-Assessment'!O$29:O$313,1,'Self-Assessment'!T$29:T$313,1),"")</f>
        <v>1</v>
      </c>
    </row>
    <row r="10" spans="1:10" ht="33" customHeight="1">
      <c r="B10" s="82" t="s">
        <v>34</v>
      </c>
      <c r="C10" s="70">
        <f>IFERROR(COUNTIFS('Self-Assessment'!H$29:H$313,1,'Self-Assessment'!P$29:P$313,1,'Self-Assessment'!R$29:R$313,1),"")</f>
        <v>5</v>
      </c>
      <c r="D10" s="70">
        <f>IFERROR(COUNTIFS('Self-Assessment'!H$29:H$313,1,'Self-Assessment'!P$29:P$313,1,'Self-Assessment'!S$29:S$313,1),"")</f>
        <v>5</v>
      </c>
      <c r="E10" s="70">
        <f>IFERROR(COUNTIFS('Self-Assessment'!H$29:H$313,1,'Self-Assessment'!P$29:P$313,1,'Self-Assessment'!T$29:T$313,1),"")</f>
        <v>6</v>
      </c>
    </row>
    <row r="11" spans="1:10" ht="33" customHeight="1" thickBot="1">
      <c r="B11" s="83" t="s">
        <v>35</v>
      </c>
      <c r="C11" s="71">
        <f>IFERROR(COUNTIFS('Self-Assessment'!H$29:H$313,1,'Self-Assessment'!Q$29:Q$313,1,'Self-Assessment'!R$29:R$313,1),"")</f>
        <v>3</v>
      </c>
      <c r="D11" s="71">
        <f>IFERROR(COUNTIFS('Self-Assessment'!H$29:H$313,1,'Self-Assessment'!Q$29:Q$313,1,'Self-Assessment'!S$29:S$313,1),"")</f>
        <v>2</v>
      </c>
      <c r="E11" s="71">
        <f>IFERROR(COUNTIFS('Self-Assessment'!H$29:H$313,1,'Self-Assessment'!Q$29:Q$313,1,'Self-Assessment'!T$29:T$313,1),"")</f>
        <v>7</v>
      </c>
    </row>
    <row r="12" spans="1:10" ht="16" thickTop="1">
      <c r="B12" s="73"/>
      <c r="C12" s="73"/>
      <c r="D12" s="73"/>
      <c r="E12" s="73"/>
    </row>
    <row r="13" spans="1:10" ht="19">
      <c r="B13" s="75" t="s">
        <v>6</v>
      </c>
      <c r="C13" s="76"/>
      <c r="D13" s="76"/>
      <c r="E13" s="76"/>
    </row>
    <row r="14" spans="1:10">
      <c r="B14" s="76"/>
      <c r="C14" s="76"/>
      <c r="D14" s="76"/>
      <c r="E14" s="76"/>
    </row>
    <row r="15" spans="1:10">
      <c r="B15" s="78"/>
      <c r="C15" s="170" t="s">
        <v>31</v>
      </c>
      <c r="D15" s="170"/>
      <c r="E15" s="170"/>
    </row>
    <row r="16" spans="1:10" s="74" customFormat="1" ht="32">
      <c r="B16" s="79" t="s">
        <v>22</v>
      </c>
      <c r="C16" s="80" t="s">
        <v>36</v>
      </c>
      <c r="D16" s="80" t="s">
        <v>37</v>
      </c>
      <c r="E16" s="80" t="s">
        <v>38</v>
      </c>
      <c r="G16" s="77"/>
      <c r="H16" s="77"/>
      <c r="I16" s="77"/>
      <c r="J16" s="77"/>
    </row>
    <row r="17" spans="2:10" s="74" customFormat="1" ht="33" customHeight="1">
      <c r="B17" s="81" t="s">
        <v>32</v>
      </c>
      <c r="C17" s="69">
        <f>IFERROR(COUNTIFS('Self-Assessment'!I$29:I$313,1,'Self-Assessment'!N$29:N$313,1,'Self-Assessment'!R$29:R$313,1),"")</f>
        <v>4</v>
      </c>
      <c r="D17" s="69">
        <f>IFERROR(COUNTIFS('Self-Assessment'!I$29:I$313,1,'Self-Assessment'!N$29:N$313,1,'Self-Assessment'!S$29:S$313,1),"")</f>
        <v>1</v>
      </c>
      <c r="E17" s="69">
        <f>IFERROR(COUNTIFS('Self-Assessment'!I$29:I$313,1,'Self-Assessment'!N$29:N$313,1,'Self-Assessment'!T$29:T$313,1),"")</f>
        <v>3</v>
      </c>
      <c r="G17" s="77"/>
      <c r="H17" s="77"/>
      <c r="I17" s="77"/>
      <c r="J17" s="77"/>
    </row>
    <row r="18" spans="2:10" s="74" customFormat="1" ht="33" customHeight="1">
      <c r="B18" s="82" t="s">
        <v>33</v>
      </c>
      <c r="C18" s="70">
        <f>IFERROR(COUNTIFS('Self-Assessment'!I$29:I$313,1,'Self-Assessment'!O$29:O$313,1,'Self-Assessment'!R$29:R$313,1),"")</f>
        <v>2</v>
      </c>
      <c r="D18" s="70">
        <f>IFERROR(COUNTIFS('Self-Assessment'!I$29:I$313,1,'Self-Assessment'!O$29:O$313,1,'Self-Assessment'!S$29:S$313,1),"")</f>
        <v>1</v>
      </c>
      <c r="E18" s="70">
        <f>IFERROR(COUNTIFS('Self-Assessment'!I$29:I$313,1,'Self-Assessment'!O$29:O$313,1,'Self-Assessment'!T$29:T$313,1),"")</f>
        <v>4</v>
      </c>
      <c r="G18" s="77"/>
      <c r="H18" s="77"/>
      <c r="I18" s="77"/>
      <c r="J18" s="77"/>
    </row>
    <row r="19" spans="2:10" s="74" customFormat="1" ht="33" customHeight="1">
      <c r="B19" s="82" t="s">
        <v>34</v>
      </c>
      <c r="C19" s="70">
        <f>IFERROR(COUNTIFS('Self-Assessment'!I$29:I$313,1,'Self-Assessment'!P$29:P$313,1,'Self-Assessment'!R$29:R$313,1),"")</f>
        <v>6</v>
      </c>
      <c r="D19" s="70">
        <f>IFERROR(COUNTIFS('Self-Assessment'!I$29:I$313,1,'Self-Assessment'!P$29:P$313,1,'Self-Assessment'!S$29:S$313,1),"")</f>
        <v>3</v>
      </c>
      <c r="E19" s="70">
        <f>IFERROR(COUNTIFS('Self-Assessment'!I$29:I$313,1,'Self-Assessment'!P$29:P$313,1,'Self-Assessment'!T$29:T$313,1),"")</f>
        <v>7</v>
      </c>
      <c r="G19" s="77"/>
      <c r="H19" s="77"/>
      <c r="I19" s="77"/>
      <c r="J19" s="77"/>
    </row>
    <row r="20" spans="2:10" s="74" customFormat="1" ht="33" customHeight="1" thickBot="1">
      <c r="B20" s="83" t="s">
        <v>35</v>
      </c>
      <c r="C20" s="71">
        <f>IFERROR(COUNTIFS('Self-Assessment'!I$29:I$313,1,'Self-Assessment'!Q$29:Q$313,1,'Self-Assessment'!R$29:R$313,1),"")</f>
        <v>2</v>
      </c>
      <c r="D20" s="71">
        <f>IFERROR(COUNTIFS('Self-Assessment'!I$29:I$313,1,'Self-Assessment'!Q$29:Q$313,1,'Self-Assessment'!S$29:S$313,1),"")</f>
        <v>2</v>
      </c>
      <c r="E20" s="71">
        <f>IFERROR(COUNTIFS('Self-Assessment'!I$29:I$313,1,'Self-Assessment'!Q$29:Q$313,1,'Self-Assessment'!T$29:T$313,1),"")</f>
        <v>4</v>
      </c>
      <c r="G20" s="77"/>
      <c r="H20" s="77"/>
      <c r="I20" s="77"/>
      <c r="J20" s="77"/>
    </row>
    <row r="21" spans="2:10" s="74" customFormat="1" ht="16" thickTop="1">
      <c r="B21" s="73"/>
      <c r="C21" s="73"/>
      <c r="D21" s="73"/>
      <c r="E21" s="73"/>
      <c r="G21" s="77"/>
      <c r="H21" s="77"/>
      <c r="I21" s="77"/>
      <c r="J21" s="77"/>
    </row>
    <row r="22" spans="2:10" s="74" customFormat="1" ht="19">
      <c r="B22" s="75" t="s">
        <v>7</v>
      </c>
      <c r="C22" s="76"/>
      <c r="D22" s="76"/>
      <c r="E22" s="76"/>
      <c r="G22" s="77"/>
      <c r="H22" s="77"/>
      <c r="I22" s="77"/>
      <c r="J22" s="77"/>
    </row>
    <row r="23" spans="2:10" s="74" customFormat="1">
      <c r="B23" s="76"/>
      <c r="C23" s="76"/>
      <c r="D23" s="76"/>
      <c r="E23" s="76"/>
      <c r="G23" s="77"/>
      <c r="H23" s="77"/>
      <c r="I23" s="77"/>
      <c r="J23" s="77"/>
    </row>
    <row r="24" spans="2:10" s="74" customFormat="1">
      <c r="B24" s="78"/>
      <c r="C24" s="170" t="s">
        <v>31</v>
      </c>
      <c r="D24" s="170"/>
      <c r="E24" s="170"/>
      <c r="G24" s="77"/>
      <c r="H24" s="77"/>
      <c r="I24" s="77"/>
      <c r="J24" s="77"/>
    </row>
    <row r="25" spans="2:10" s="74" customFormat="1" ht="32">
      <c r="B25" s="79" t="s">
        <v>22</v>
      </c>
      <c r="C25" s="80" t="s">
        <v>36</v>
      </c>
      <c r="D25" s="80" t="s">
        <v>37</v>
      </c>
      <c r="E25" s="80" t="s">
        <v>38</v>
      </c>
      <c r="G25" s="77"/>
      <c r="H25" s="77"/>
      <c r="I25" s="77"/>
      <c r="J25" s="77"/>
    </row>
    <row r="26" spans="2:10" s="74" customFormat="1" ht="33" customHeight="1">
      <c r="B26" s="81" t="s">
        <v>32</v>
      </c>
      <c r="C26" s="69">
        <f>IFERROR(COUNTIFS('Self-Assessment'!J$29:J$313,1,'Self-Assessment'!N$29:N$313,1,'Self-Assessment'!R$29:R$313,1),"")</f>
        <v>3</v>
      </c>
      <c r="D26" s="69">
        <f>IFERROR(COUNTIFS('Self-Assessment'!J$29:J$313,1,'Self-Assessment'!N$29:N$313,1,'Self-Assessment'!S$29:S$313,1),"")</f>
        <v>3</v>
      </c>
      <c r="E26" s="69">
        <f>IFERROR(COUNTIFS('Self-Assessment'!J$29:J$313,1,'Self-Assessment'!N$29:N$313,1,'Self-Assessment'!T$29:T$313,1),"")</f>
        <v>3</v>
      </c>
      <c r="G26" s="77"/>
      <c r="H26" s="77"/>
      <c r="I26" s="77"/>
      <c r="J26" s="77"/>
    </row>
    <row r="27" spans="2:10" s="74" customFormat="1" ht="33" customHeight="1">
      <c r="B27" s="82" t="s">
        <v>33</v>
      </c>
      <c r="C27" s="70">
        <f>IFERROR(COUNTIFS('Self-Assessment'!J$29:J$313,1,'Self-Assessment'!O$29:O$313,1,'Self-Assessment'!R$29:R$313,1),"")</f>
        <v>1</v>
      </c>
      <c r="D27" s="70">
        <f>IFERROR(COUNTIFS('Self-Assessment'!J$29:J$313,1,'Self-Assessment'!O$29:O$313,1,'Self-Assessment'!S$29:S$313,1),"")</f>
        <v>1</v>
      </c>
      <c r="E27" s="70">
        <f>IFERROR(COUNTIFS('Self-Assessment'!J$29:J$313,1,'Self-Assessment'!O$29:O$313,1,'Self-Assessment'!T$29:T$313,1),"")</f>
        <v>5</v>
      </c>
      <c r="G27" s="77"/>
      <c r="H27" s="77"/>
      <c r="I27" s="77"/>
      <c r="J27" s="77"/>
    </row>
    <row r="28" spans="2:10" s="74" customFormat="1" ht="33" customHeight="1">
      <c r="B28" s="82" t="s">
        <v>34</v>
      </c>
      <c r="C28" s="70">
        <f>IFERROR(COUNTIFS('Self-Assessment'!J$29:J$313,1,'Self-Assessment'!P$29:P$313,1,'Self-Assessment'!R$29:R$313,1),"")</f>
        <v>2</v>
      </c>
      <c r="D28" s="70">
        <f>IFERROR(COUNTIFS('Self-Assessment'!J$29:J$313,1,'Self-Assessment'!P$29:P$313,1,'Self-Assessment'!S$29:S$313,1),"")</f>
        <v>4</v>
      </c>
      <c r="E28" s="70">
        <f>IFERROR(COUNTIFS('Self-Assessment'!J$29:J$313,1,'Self-Assessment'!P$29:P$313,1,'Self-Assessment'!T$29:T$313,1),"")</f>
        <v>5</v>
      </c>
      <c r="G28" s="77"/>
      <c r="H28" s="77"/>
      <c r="I28" s="77"/>
      <c r="J28" s="77"/>
    </row>
    <row r="29" spans="2:10" s="74" customFormat="1" ht="33" customHeight="1" thickBot="1">
      <c r="B29" s="83" t="s">
        <v>35</v>
      </c>
      <c r="C29" s="71">
        <f>IFERROR(COUNTIFS('Self-Assessment'!J$29:J$313,1,'Self-Assessment'!Q$29:Q$313,1,'Self-Assessment'!R$29:R$313,1),"")</f>
        <v>3</v>
      </c>
      <c r="D29" s="71">
        <f>IFERROR(COUNTIFS('Self-Assessment'!J$29:J$313,1,'Self-Assessment'!Q$29:Q$313,1,'Self-Assessment'!S$29:S$313,1),"")</f>
        <v>1</v>
      </c>
      <c r="E29" s="71">
        <f>IFERROR(COUNTIFS('Self-Assessment'!J$29:J$313,1,'Self-Assessment'!Q$29:Q$313,1,'Self-Assessment'!T$29:T$313,1),"")</f>
        <v>2</v>
      </c>
      <c r="G29" s="77"/>
      <c r="H29" s="77"/>
      <c r="I29" s="77"/>
      <c r="J29" s="77"/>
    </row>
    <row r="30" spans="2:10" s="74" customFormat="1" ht="16" thickTop="1">
      <c r="B30" s="73"/>
      <c r="C30" s="73"/>
      <c r="D30" s="73"/>
      <c r="E30" s="73"/>
      <c r="G30" s="77"/>
      <c r="H30" s="77"/>
      <c r="I30" s="77"/>
      <c r="J30" s="77"/>
    </row>
    <row r="31" spans="2:10" s="74" customFormat="1" ht="19">
      <c r="B31" s="75" t="s">
        <v>63</v>
      </c>
      <c r="C31" s="76"/>
      <c r="D31" s="76"/>
      <c r="E31" s="76"/>
      <c r="G31" s="77"/>
      <c r="H31" s="77"/>
      <c r="I31" s="77"/>
      <c r="J31" s="77"/>
    </row>
    <row r="32" spans="2:10" s="74" customFormat="1">
      <c r="B32" s="76"/>
      <c r="C32" s="76"/>
      <c r="D32" s="76"/>
      <c r="E32" s="76"/>
      <c r="G32" s="77"/>
      <c r="H32" s="77"/>
      <c r="I32" s="77"/>
      <c r="J32" s="77"/>
    </row>
    <row r="33" spans="2:10" s="74" customFormat="1">
      <c r="B33" s="78"/>
      <c r="C33" s="170" t="s">
        <v>31</v>
      </c>
      <c r="D33" s="170"/>
      <c r="E33" s="170"/>
      <c r="G33" s="77"/>
      <c r="H33" s="77"/>
      <c r="I33" s="77"/>
      <c r="J33" s="77"/>
    </row>
    <row r="34" spans="2:10" s="74" customFormat="1" ht="32">
      <c r="B34" s="79" t="s">
        <v>22</v>
      </c>
      <c r="C34" s="80" t="s">
        <v>36</v>
      </c>
      <c r="D34" s="80" t="s">
        <v>37</v>
      </c>
      <c r="E34" s="80" t="s">
        <v>38</v>
      </c>
      <c r="G34" s="77"/>
      <c r="H34" s="77"/>
      <c r="I34" s="77"/>
      <c r="J34" s="77"/>
    </row>
    <row r="35" spans="2:10" s="74" customFormat="1" ht="33" customHeight="1">
      <c r="B35" s="81" t="s">
        <v>32</v>
      </c>
      <c r="C35" s="69">
        <f>IFERROR(COUNTIFS('Self-Assessment'!K$29:K$313,1,'Self-Assessment'!N$29:N$313,1,'Self-Assessment'!R$29:R$313,1),"")</f>
        <v>8</v>
      </c>
      <c r="D35" s="69">
        <f>IFERROR(COUNTIFS('Self-Assessment'!K$29:K$313,1,'Self-Assessment'!N$29:N$313,1,'Self-Assessment'!S$29:S$313,1),"")</f>
        <v>3</v>
      </c>
      <c r="E35" s="69">
        <f>IFERROR(COUNTIFS('Self-Assessment'!K$29:K$313,1,'Self-Assessment'!N$29:N$313,1,'Self-Assessment'!T$29:T$313,1),"")</f>
        <v>5</v>
      </c>
      <c r="G35" s="77"/>
      <c r="H35" s="77"/>
      <c r="I35" s="77"/>
      <c r="J35" s="77"/>
    </row>
    <row r="36" spans="2:10" s="74" customFormat="1" ht="33" customHeight="1">
      <c r="B36" s="82" t="s">
        <v>33</v>
      </c>
      <c r="C36" s="70">
        <f>IFERROR(COUNTIFS('Self-Assessment'!K$29:K$313,1,'Self-Assessment'!O$29:O$313,1,'Self-Assessment'!R$29:R$313,1),"")</f>
        <v>8</v>
      </c>
      <c r="D36" s="70">
        <f>IFERROR(COUNTIFS('Self-Assessment'!K$29:K$313,1,'Self-Assessment'!O$29:O$313,1,'Self-Assessment'!S$29:S$313,1),"")</f>
        <v>2</v>
      </c>
      <c r="E36" s="70">
        <f>IFERROR(COUNTIFS('Self-Assessment'!K$29:K$313,1,'Self-Assessment'!O$29:O$313,1,'Self-Assessment'!T$29:T$313,1),"")</f>
        <v>4</v>
      </c>
      <c r="G36" s="77"/>
      <c r="H36" s="77"/>
      <c r="I36" s="77"/>
      <c r="J36" s="77"/>
    </row>
    <row r="37" spans="2:10" s="74" customFormat="1" ht="33" customHeight="1">
      <c r="B37" s="82" t="s">
        <v>34</v>
      </c>
      <c r="C37" s="70">
        <f>IFERROR(COUNTIFS('Self-Assessment'!K$29:K$313,1,'Self-Assessment'!P$29:P$313,1,'Self-Assessment'!R$29:R$313,1),"")</f>
        <v>5</v>
      </c>
      <c r="D37" s="70">
        <f>IFERROR(COUNTIFS('Self-Assessment'!K$29:K$313,1,'Self-Assessment'!P$29:P$313,1,'Self-Assessment'!S$29:S$313,1),"")</f>
        <v>2</v>
      </c>
      <c r="E37" s="70">
        <f>IFERROR(COUNTIFS('Self-Assessment'!K$29:K$313,1,'Self-Assessment'!P$29:P$313,1,'Self-Assessment'!T$29:T$313,1),"")</f>
        <v>1</v>
      </c>
      <c r="G37" s="77"/>
      <c r="H37" s="77"/>
      <c r="I37" s="77"/>
      <c r="J37" s="77"/>
    </row>
    <row r="38" spans="2:10" s="74" customFormat="1" ht="33" customHeight="1" thickBot="1">
      <c r="B38" s="83" t="s">
        <v>35</v>
      </c>
      <c r="C38" s="71">
        <f>IFERROR(COUNTIFS('Self-Assessment'!K$29:K$313,1,'Self-Assessment'!Q$29:Q$313,1,'Self-Assessment'!R$29:R$313,1),"")</f>
        <v>5</v>
      </c>
      <c r="D38" s="71">
        <f>IFERROR(COUNTIFS('Self-Assessment'!K$29:K$313,1,'Self-Assessment'!Q$29:Q$313,1,'Self-Assessment'!S$29:S$313,1),"")</f>
        <v>1</v>
      </c>
      <c r="E38" s="71">
        <f>IFERROR(COUNTIFS('Self-Assessment'!K$29:K$313,1,'Self-Assessment'!Q$29:Q$313,1,'Self-Assessment'!T$29:T$313,1),"")</f>
        <v>3</v>
      </c>
      <c r="G38" s="77"/>
      <c r="H38" s="77"/>
      <c r="I38" s="77"/>
      <c r="J38" s="77"/>
    </row>
    <row r="39" spans="2:10" s="74" customFormat="1" ht="16" thickTop="1">
      <c r="B39" s="73"/>
      <c r="C39" s="73"/>
      <c r="D39" s="73"/>
      <c r="E39" s="73"/>
      <c r="G39" s="77"/>
      <c r="H39" s="77"/>
      <c r="I39" s="77"/>
      <c r="J39" s="77"/>
    </row>
    <row r="40" spans="2:10" s="74" customFormat="1">
      <c r="B40" s="73"/>
      <c r="C40" s="73"/>
      <c r="D40" s="73"/>
      <c r="E40" s="73"/>
      <c r="G40" s="77"/>
      <c r="H40" s="77"/>
      <c r="I40" s="77"/>
      <c r="J40" s="77"/>
    </row>
    <row r="41" spans="2:10" s="74" customFormat="1" ht="19">
      <c r="B41" s="75" t="s">
        <v>8</v>
      </c>
      <c r="C41" s="76"/>
      <c r="D41" s="76"/>
      <c r="E41" s="76"/>
      <c r="G41" s="77"/>
      <c r="H41" s="77"/>
      <c r="I41" s="77"/>
      <c r="J41" s="77"/>
    </row>
    <row r="42" spans="2:10" s="74" customFormat="1">
      <c r="B42" s="76"/>
      <c r="C42" s="76"/>
      <c r="D42" s="76"/>
      <c r="E42" s="76"/>
      <c r="G42" s="77"/>
      <c r="H42" s="77"/>
      <c r="I42" s="77"/>
      <c r="J42" s="77"/>
    </row>
    <row r="43" spans="2:10" s="74" customFormat="1">
      <c r="B43" s="78"/>
      <c r="C43" s="170" t="s">
        <v>31</v>
      </c>
      <c r="D43" s="170"/>
      <c r="E43" s="170"/>
      <c r="G43" s="77"/>
      <c r="H43" s="77"/>
      <c r="I43" s="77"/>
      <c r="J43" s="77"/>
    </row>
    <row r="44" spans="2:10" s="74" customFormat="1" ht="32">
      <c r="B44" s="79" t="s">
        <v>22</v>
      </c>
      <c r="C44" s="80" t="s">
        <v>36</v>
      </c>
      <c r="D44" s="80" t="s">
        <v>37</v>
      </c>
      <c r="E44" s="80" t="s">
        <v>38</v>
      </c>
      <c r="G44" s="77"/>
      <c r="H44" s="77"/>
      <c r="I44" s="77"/>
      <c r="J44" s="77"/>
    </row>
    <row r="45" spans="2:10" s="74" customFormat="1" ht="33" customHeight="1">
      <c r="B45" s="81" t="s">
        <v>32</v>
      </c>
      <c r="C45" s="69">
        <f>IFERROR(COUNTIFS('Self-Assessment'!L$29:L$313,1,'Self-Assessment'!N$29:N$313,1,'Self-Assessment'!R$29:R$313,1),"")</f>
        <v>8</v>
      </c>
      <c r="D45" s="69">
        <f>IFERROR(COUNTIFS('Self-Assessment'!L$29:L$313,1,'Self-Assessment'!N$29:N$313,1,'Self-Assessment'!S$29:S$313,1),"")</f>
        <v>1</v>
      </c>
      <c r="E45" s="69">
        <f>IFERROR(COUNTIFS('Self-Assessment'!L$29:L$313,1,'Self-Assessment'!N$29:N$313,1,'Self-Assessment'!T$29:T$313,1),"")</f>
        <v>5</v>
      </c>
      <c r="G45" s="77"/>
      <c r="H45" s="77"/>
      <c r="I45" s="77"/>
      <c r="J45" s="77"/>
    </row>
    <row r="46" spans="2:10" s="74" customFormat="1" ht="33" customHeight="1">
      <c r="B46" s="82" t="s">
        <v>33</v>
      </c>
      <c r="C46" s="70">
        <f>IFERROR(COUNTIFS('Self-Assessment'!L$29:L$313,1,'Self-Assessment'!O$29:O$313,1,'Self-Assessment'!R$29:R$313,1),"")</f>
        <v>4</v>
      </c>
      <c r="D46" s="70">
        <f>IFERROR(COUNTIFS('Self-Assessment'!L$29:L$313,1,'Self-Assessment'!O$29:O$313,1,'Self-Assessment'!S$29:S$313,1),"")</f>
        <v>2</v>
      </c>
      <c r="E46" s="70">
        <f>IFERROR(COUNTIFS('Self-Assessment'!L$29:L$313,1,'Self-Assessment'!O$29:O$313,1,'Self-Assessment'!T$29:T$313,1),"")</f>
        <v>5</v>
      </c>
      <c r="G46" s="77"/>
      <c r="H46" s="77"/>
      <c r="I46" s="77"/>
      <c r="J46" s="77"/>
    </row>
    <row r="47" spans="2:10" s="74" customFormat="1" ht="33" customHeight="1">
      <c r="B47" s="82" t="s">
        <v>34</v>
      </c>
      <c r="C47" s="70">
        <f>IFERROR(COUNTIFS('Self-Assessment'!L$29:L$313,1,'Self-Assessment'!P$29:P$313,1,'Self-Assessment'!R$29:R$313,1),"")</f>
        <v>2</v>
      </c>
      <c r="D47" s="70">
        <f>IFERROR(COUNTIFS('Self-Assessment'!L$29:L$313,1,'Self-Assessment'!P$29:P$313,1,'Self-Assessment'!S$29:S$313,1),"")</f>
        <v>1</v>
      </c>
      <c r="E47" s="70">
        <f>IFERROR(COUNTIFS('Self-Assessment'!L$29:L$313,1,'Self-Assessment'!P$29:P$313,1,'Self-Assessment'!T$29:T$313,1),"")</f>
        <v>4</v>
      </c>
      <c r="G47" s="77"/>
      <c r="H47" s="77"/>
      <c r="I47" s="77"/>
      <c r="J47" s="77"/>
    </row>
    <row r="48" spans="2:10" s="74" customFormat="1" ht="33" customHeight="1" thickBot="1">
      <c r="B48" s="83" t="s">
        <v>35</v>
      </c>
      <c r="C48" s="71">
        <f>IFERROR(COUNTIFS('Self-Assessment'!L$29:L$313,1,'Self-Assessment'!Q$29:Q$313,1,'Self-Assessment'!R$29:R$313,1),"")</f>
        <v>1</v>
      </c>
      <c r="D48" s="71">
        <f>IFERROR(COUNTIFS('Self-Assessment'!L$29:L$313,1,'Self-Assessment'!Q$29:Q$313,1,'Self-Assessment'!S$29:S$313,1),"")</f>
        <v>1</v>
      </c>
      <c r="E48" s="71">
        <f>IFERROR(COUNTIFS('Self-Assessment'!L$29:L$313,1,'Self-Assessment'!Q$29:Q$313,1,'Self-Assessment'!T$29:T$313,1),"")</f>
        <v>4</v>
      </c>
      <c r="G48" s="77"/>
      <c r="H48" s="77"/>
      <c r="I48" s="77"/>
      <c r="J48" s="77"/>
    </row>
    <row r="49" spans="2:10" s="74" customFormat="1" ht="16" thickTop="1">
      <c r="B49" s="73"/>
      <c r="C49" s="73"/>
      <c r="D49" s="73"/>
      <c r="E49" s="73"/>
      <c r="G49" s="77"/>
      <c r="H49" s="77"/>
      <c r="I49" s="77"/>
      <c r="J49" s="77"/>
    </row>
    <row r="50" spans="2:10" s="74" customFormat="1" ht="19">
      <c r="B50" s="75" t="s">
        <v>9</v>
      </c>
      <c r="C50" s="76"/>
      <c r="D50" s="76"/>
      <c r="E50" s="76"/>
      <c r="G50" s="77"/>
      <c r="H50" s="77"/>
      <c r="I50" s="77"/>
      <c r="J50" s="77"/>
    </row>
    <row r="51" spans="2:10" s="74" customFormat="1" hidden="1">
      <c r="B51" s="76"/>
      <c r="C51" s="76"/>
      <c r="D51" s="76"/>
      <c r="E51" s="76"/>
      <c r="G51" s="77"/>
      <c r="H51" s="77"/>
      <c r="I51" s="77"/>
      <c r="J51" s="77"/>
    </row>
    <row r="52" spans="2:10" s="74" customFormat="1">
      <c r="B52" s="78"/>
      <c r="C52" s="170" t="s">
        <v>31</v>
      </c>
      <c r="D52" s="170"/>
      <c r="E52" s="170"/>
      <c r="G52" s="77"/>
      <c r="H52" s="77"/>
      <c r="I52" s="77"/>
      <c r="J52" s="77"/>
    </row>
    <row r="53" spans="2:10" s="74" customFormat="1" ht="32">
      <c r="B53" s="79" t="s">
        <v>22</v>
      </c>
      <c r="C53" s="80" t="s">
        <v>36</v>
      </c>
      <c r="D53" s="80" t="s">
        <v>37</v>
      </c>
      <c r="E53" s="80" t="s">
        <v>38</v>
      </c>
      <c r="G53" s="77"/>
      <c r="H53" s="77"/>
      <c r="I53" s="77"/>
      <c r="J53" s="77"/>
    </row>
    <row r="54" spans="2:10" s="74" customFormat="1" ht="33" customHeight="1">
      <c r="B54" s="81" t="s">
        <v>32</v>
      </c>
      <c r="C54" s="69">
        <f>IFERROR(COUNTIFS('Self-Assessment'!M$29:M$313,1,'Self-Assessment'!N$29:N$313,1,'Self-Assessment'!R$29:R$313,1),"")</f>
        <v>1</v>
      </c>
      <c r="D54" s="69">
        <f>IFERROR(COUNTIFS('Self-Assessment'!M$29:M$313,1,'Self-Assessment'!N$29:N$313,1,'Self-Assessment'!S$29:S$313,1),"")</f>
        <v>2</v>
      </c>
      <c r="E54" s="69">
        <f>IFERROR(COUNTIFS('Self-Assessment'!M$29:M$313,1,'Self-Assessment'!N$29:N$313,1,'Self-Assessment'!T$29:T$313,1),"")</f>
        <v>2</v>
      </c>
      <c r="G54" s="77"/>
      <c r="H54" s="77"/>
      <c r="I54" s="77"/>
      <c r="J54" s="77"/>
    </row>
    <row r="55" spans="2:10" s="74" customFormat="1" ht="33" customHeight="1">
      <c r="B55" s="82" t="s">
        <v>33</v>
      </c>
      <c r="C55" s="70">
        <f>IFERROR(COUNTIFS('Self-Assessment'!M$29:M$313,1,'Self-Assessment'!O$29:O$313,1,'Self-Assessment'!R$29:R$313,1),"")</f>
        <v>3</v>
      </c>
      <c r="D55" s="70">
        <f>IFERROR(COUNTIFS('Self-Assessment'!M$29:M$313,1,'Self-Assessment'!O$29:O$313,1,'Self-Assessment'!S$29:S$313,1),"")</f>
        <v>2</v>
      </c>
      <c r="E55" s="70">
        <f>IFERROR(COUNTIFS('Self-Assessment'!M$29:M$313,1,'Self-Assessment'!O$29:O$313,1,'Self-Assessment'!T$29:T$313,1),"")</f>
        <v>4</v>
      </c>
      <c r="G55" s="77"/>
      <c r="H55" s="77"/>
      <c r="I55" s="77"/>
      <c r="J55" s="77"/>
    </row>
    <row r="56" spans="2:10" s="74" customFormat="1" ht="33" customHeight="1">
      <c r="B56" s="82" t="s">
        <v>34</v>
      </c>
      <c r="C56" s="70">
        <f>IFERROR(COUNTIFS('Self-Assessment'!M$29:M$313,1,'Self-Assessment'!P$29:P$313,1,'Self-Assessment'!R$29:R$313,1),"")</f>
        <v>3</v>
      </c>
      <c r="D56" s="70">
        <f>IFERROR(COUNTIFS('Self-Assessment'!M$29:M$313,1,'Self-Assessment'!P$29:P$313,1,'Self-Assessment'!S$29:S$313,1),"")</f>
        <v>1</v>
      </c>
      <c r="E56" s="70">
        <f>IFERROR(COUNTIFS('Self-Assessment'!M$29:M$313,1,'Self-Assessment'!P$29:P$313,1,'Self-Assessment'!T$29:T$313,1),"")</f>
        <v>2</v>
      </c>
      <c r="G56" s="77"/>
      <c r="H56" s="77"/>
      <c r="I56" s="77"/>
      <c r="J56" s="77"/>
    </row>
    <row r="57" spans="2:10" s="74" customFormat="1" ht="33" customHeight="1" thickBot="1">
      <c r="B57" s="83" t="s">
        <v>35</v>
      </c>
      <c r="C57" s="71">
        <f>IFERROR(COUNTIFS('Self-Assessment'!M$29:M$313,1,'Self-Assessment'!Q$29:Q$313,1,'Self-Assessment'!R$29:R$313,1),"")</f>
        <v>1</v>
      </c>
      <c r="D57" s="71">
        <f>IFERROR(COUNTIFS('Self-Assessment'!M$29:M$313,1,'Self-Assessment'!Q$29:Q$313,1,'Self-Assessment'!S$29:S$313,1),"")</f>
        <v>3</v>
      </c>
      <c r="E57" s="71">
        <f>IFERROR(COUNTIFS('Self-Assessment'!M$29:M$313,1,'Self-Assessment'!Q$29:Q$313,1,'Self-Assessment'!T$29:T$313,1),"")</f>
        <v>2</v>
      </c>
      <c r="G57" s="77"/>
      <c r="H57" s="77"/>
      <c r="I57" s="77"/>
      <c r="J57" s="77"/>
    </row>
    <row r="58" spans="2:10" s="74" customFormat="1" ht="16" hidden="1" thickTop="1">
      <c r="B58" s="73"/>
      <c r="C58" s="73"/>
      <c r="D58" s="73"/>
      <c r="E58" s="73"/>
      <c r="G58" s="77"/>
      <c r="H58" s="77"/>
      <c r="I58" s="77"/>
      <c r="J58" s="77"/>
    </row>
    <row r="59" spans="2:10" ht="16" hidden="1" thickTop="1"/>
    <row r="60" spans="2:10" s="74" customFormat="1" ht="16" thickTop="1">
      <c r="B60" s="73"/>
      <c r="C60" s="73"/>
      <c r="D60" s="73"/>
      <c r="E60" s="73"/>
      <c r="G60" s="77"/>
      <c r="H60" s="77"/>
      <c r="I60" s="77"/>
      <c r="J60" s="77"/>
    </row>
    <row r="62" spans="2:10" s="74" customFormat="1" hidden="1">
      <c r="B62" s="73"/>
      <c r="C62" s="73"/>
      <c r="D62" s="73"/>
      <c r="E62" s="73"/>
      <c r="G62" s="77"/>
      <c r="H62" s="77"/>
      <c r="I62" s="77"/>
      <c r="J62" s="77"/>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dimension ref="A1:H7"/>
  <sheetViews>
    <sheetView workbookViewId="0">
      <selection activeCell="G7" sqref="G7"/>
    </sheetView>
  </sheetViews>
  <sheetFormatPr baseColWidth="10" defaultRowHeight="16"/>
  <cols>
    <col min="1" max="1" width="43.83203125" bestFit="1" customWidth="1"/>
  </cols>
  <sheetData>
    <row r="1" spans="1:8">
      <c r="B1" t="s">
        <v>32</v>
      </c>
      <c r="C1" t="s">
        <v>33</v>
      </c>
      <c r="D1" t="s">
        <v>34</v>
      </c>
      <c r="E1" t="s">
        <v>35</v>
      </c>
      <c r="F1" t="s">
        <v>36</v>
      </c>
      <c r="G1" t="s">
        <v>37</v>
      </c>
      <c r="H1" t="s">
        <v>38</v>
      </c>
    </row>
    <row r="2" spans="1:8">
      <c r="A2" t="s">
        <v>5</v>
      </c>
      <c r="B2">
        <f>IFERROR(AVERAGEIFS('Self-Assessment'!D$29:D$313,'Self-Assessment'!H$29:H$313,1,'Self-Assessment'!N$29:N$313,1),"")</f>
        <v>0.61538461538461542</v>
      </c>
      <c r="C2">
        <f>IFERROR(AVERAGEIFS('Self-Assessment'!D$29:D$313,'Self-Assessment'!H$29:H$313,1,'Self-Assessment'!O$29:O$313,1),"")</f>
        <v>0.7142857142857143</v>
      </c>
      <c r="D2">
        <f>IFERROR(AVERAGEIFS('Self-Assessment'!D$29:D$313,'Self-Assessment'!H$29:H$313,1,'Self-Assessment'!P$29:P$313,1),"")</f>
        <v>1</v>
      </c>
      <c r="E2">
        <f>IFERROR(AVERAGEIFS('Self-Assessment'!D$29:D$313,'Self-Assessment'!H$29:H$313,1,'Self-Assessment'!Q$29:Q$313,1),"")</f>
        <v>0.44444444444444442</v>
      </c>
      <c r="F2">
        <f>IFERROR(AVERAGEIFS('Self-Assessment'!D$29:D$313,'Self-Assessment'!H$29:H$313,1,'Self-Assessment'!R$29:R$313,1),"")</f>
        <v>0.75</v>
      </c>
      <c r="G2">
        <f>IFERROR(AVERAGEIFS('Self-Assessment'!D$29:D$313,'Self-Assessment'!H$29:H$313,1,'Self-Assessment'!S$29:S$313,1),"")</f>
        <v>0.75</v>
      </c>
      <c r="H2">
        <f>IFERROR(AVERAGEIFS('Self-Assessment'!D$29:D$313,'Self-Assessment'!H$29:H$313,1,'Self-Assessment'!T$29:T$313,1),"")</f>
        <v>0.7857142857142857</v>
      </c>
    </row>
    <row r="3" spans="1:8">
      <c r="A3" t="s">
        <v>6</v>
      </c>
      <c r="B3">
        <f>IFERROR(AVERAGEIFS('Self-Assessment'!D$29:D$313,'Self-Assessment'!I$29:I$313,1,'Self-Assessment'!N$29:N$313,1),"")</f>
        <v>0.5</v>
      </c>
      <c r="C3">
        <f>IFERROR(AVERAGEIFS('Self-Assessment'!D$29:D$313,'Self-Assessment'!I$29:I$313,1,'Self-Assessment'!O$29:O$313,1),"")</f>
        <v>0.25</v>
      </c>
      <c r="D3">
        <f>IFERROR(AVERAGEIFS('Self-Assessment'!D$29:D$313,'Self-Assessment'!I$29:I$313,1,'Self-Assessment'!P$29:P$313,1),"")</f>
        <v>0.9375</v>
      </c>
      <c r="E3">
        <f>IFERROR(AVERAGEIFS('Self-Assessment'!D$29:D$313,'Self-Assessment'!I$29:I$313,1,'Self-Assessment'!Q$29:Q$313,1),"")</f>
        <v>0.75</v>
      </c>
      <c r="F3">
        <f>IFERROR(AVERAGEIFS('Self-Assessment'!D$29:D$313,'Self-Assessment'!I$29:I$313,1,'Self-Assessment'!R$29:R$313,1),"")</f>
        <v>0.66666666666666663</v>
      </c>
      <c r="G3">
        <f>IFERROR(AVERAGEIFS('Self-Assessment'!D$29:D$313,'Self-Assessment'!I$29:I$313,1,'Self-Assessment'!S$29:S$313,1),"")</f>
        <v>0.625</v>
      </c>
      <c r="H3">
        <f>IFERROR(AVERAGEIFS('Self-Assessment'!D$29:D$313,'Self-Assessment'!I$29:I$313,1,'Self-Assessment'!T$29:T$313,1),"")</f>
        <v>0.625</v>
      </c>
    </row>
    <row r="4" spans="1:8">
      <c r="A4" t="s">
        <v>7</v>
      </c>
      <c r="B4">
        <f>IFERROR(AVERAGEIFS('Self-Assessment'!D$29:D$313,'Self-Assessment'!J$29:J$313,1,'Self-Assessment'!N$29:N$313,1),"")</f>
        <v>0.33333333333333331</v>
      </c>
      <c r="C4">
        <f>IFERROR(AVERAGEIFS('Self-Assessment'!D$29:D$313,'Self-Assessment'!J$29:J$313,1,'Self-Assessment'!O$29:O$313,1),"")</f>
        <v>0.75</v>
      </c>
      <c r="D4">
        <f>IFERROR(AVERAGEIFS('Self-Assessment'!D$29:D$313,'Self-Assessment'!J$29:J$313,1,'Self-Assessment'!P$29:P$313,1),"")</f>
        <v>0.5714285714285714</v>
      </c>
      <c r="E4">
        <f>IFERROR(AVERAGEIFS('Self-Assessment'!D$29:D$313,'Self-Assessment'!J$29:J$313,1,'Self-Assessment'!Q$29:Q$313,1),"")</f>
        <v>0.6</v>
      </c>
      <c r="F4">
        <f>IFERROR(AVERAGEIFS('Self-Assessment'!D$29:D$313,'Self-Assessment'!J$29:J$313,1,'Self-Assessment'!R$29:R$313,1),"")</f>
        <v>0.2</v>
      </c>
      <c r="G4">
        <f>IFERROR(AVERAGEIFS('Self-Assessment'!D$29:D$313,'Self-Assessment'!J$29:J$313,1,'Self-Assessment'!S$29:S$313,1),"")</f>
        <v>0.6</v>
      </c>
      <c r="H4">
        <f>IFERROR(AVERAGEIFS('Self-Assessment'!D$29:D$313,'Self-Assessment'!J$29:J$313,1,'Self-Assessment'!T$29:T$313,1),"")</f>
        <v>0.72222222222222221</v>
      </c>
    </row>
    <row r="5" spans="1:8">
      <c r="A5" t="s">
        <v>63</v>
      </c>
      <c r="B5">
        <f>IFERROR(AVERAGEIFS('Self-Assessment'!D$29:D$313,'Self-Assessment'!K$29:K$313,1,'Self-Assessment'!N$29:N$313,1),"")</f>
        <v>0.25</v>
      </c>
      <c r="C5">
        <f>IFERROR(AVERAGEIFS('Self-Assessment'!D$29:D$313,'Self-Assessment'!K$29:K$313,1,'Self-Assessment'!O$29:O$313,1),"")</f>
        <v>0.17857142857142858</v>
      </c>
      <c r="D5">
        <f>IFERROR(AVERAGEIFS('Self-Assessment'!D$29:D$313,'Self-Assessment'!K$29:K$313,1,'Self-Assessment'!P$29:P$313,1),"")</f>
        <v>0.9</v>
      </c>
      <c r="E5">
        <f>IFERROR(AVERAGEIFS('Self-Assessment'!D$29:D$313,'Self-Assessment'!K$29:K$313,1,'Self-Assessment'!Q$29:Q$313,1),"")</f>
        <v>0.66666666666666663</v>
      </c>
      <c r="F5">
        <f>IFERROR(AVERAGEIFS('Self-Assessment'!D$29:D$313,'Self-Assessment'!K$29:K$313,1,'Self-Assessment'!R$29:R$313,1),"")</f>
        <v>0.41176470588235292</v>
      </c>
      <c r="G5">
        <f>IFERROR(AVERAGEIFS('Self-Assessment'!D$29:D$313,'Self-Assessment'!K$29:K$313,1,'Self-Assessment'!S$29:S$313,1),"")</f>
        <v>0</v>
      </c>
      <c r="H5">
        <f>IFERROR(AVERAGEIFS('Self-Assessment'!D$29:D$313,'Self-Assessment'!K$29:K$313,1,'Self-Assessment'!T$29:T$313,1),"")</f>
        <v>0.22222222222222221</v>
      </c>
    </row>
    <row r="6" spans="1:8">
      <c r="A6" t="s">
        <v>8</v>
      </c>
      <c r="B6">
        <f>IFERROR(AVERAGEIFS('Self-Assessment'!D$29:D$313,'Self-Assessment'!L$29:L$313,1,'Self-Assessment'!N$29:N$313,1),"")</f>
        <v>1.1666666666666667</v>
      </c>
      <c r="C6">
        <f>IFERROR(AVERAGEIFS('Self-Assessment'!D$29:D$313,'Self-Assessment'!L$29:L$313,1,'Self-Assessment'!O$29:O$313,1),"")</f>
        <v>0.83333333333333337</v>
      </c>
      <c r="D6">
        <f>IFERROR(AVERAGEIFS('Self-Assessment'!D$29:D$313,'Self-Assessment'!L$29:L$313,1,'Self-Assessment'!P$29:P$313,1),"")</f>
        <v>1</v>
      </c>
      <c r="E6">
        <f>IFERROR(AVERAGEIFS('Self-Assessment'!D$29:D$313,'Self-Assessment'!L$29:L$313,1,'Self-Assessment'!Q$29:Q$313,1),"")</f>
        <v>1.2</v>
      </c>
      <c r="F6">
        <f>IFERROR(AVERAGEIFS('Self-Assessment'!D$29:D$313,'Self-Assessment'!L$29:L$313,1,'Self-Assessment'!R$29:R$313,1),"")</f>
        <v>1.5416666666666667</v>
      </c>
      <c r="G6">
        <f>IFERROR(AVERAGEIFS('Self-Assessment'!D$29:D$313,'Self-Assessment'!L$29:L$313,1,'Self-Assessment'!S$29:S$313,1),"")</f>
        <v>0.75</v>
      </c>
      <c r="H6">
        <f>IFERROR(AVERAGEIFS('Self-Assessment'!D$29:D$313,'Self-Assessment'!L$29:L$313,1,'Self-Assessment'!T$29:T$313,1),"")</f>
        <v>0.75</v>
      </c>
    </row>
    <row r="7" spans="1:8">
      <c r="A7" t="s">
        <v>9</v>
      </c>
      <c r="B7">
        <f>IFERROR(AVERAGEIFS('Self-Assessment'!D$29:D$313,'Self-Assessment'!M$29:M$313,1,'Self-Assessment'!N$29:N$313,1),"")</f>
        <v>1.375</v>
      </c>
      <c r="C7">
        <f>IFERROR(AVERAGEIFS('Self-Assessment'!D$29:D$313,'Self-Assessment'!M$29:M$313,1,'Self-Assessment'!O$29:O$313,1),"")</f>
        <v>0.7857142857142857</v>
      </c>
      <c r="D7">
        <f>IFERROR(AVERAGEIFS('Self-Assessment'!D$29:D$313,'Self-Assessment'!M$29:M$313,1,'Self-Assessment'!P$29:P$313,1),"")</f>
        <v>0.25</v>
      </c>
      <c r="E7">
        <f>IFERROR(AVERAGEIFS('Self-Assessment'!D$29:D$313,'Self-Assessment'!M$29:M$313,1,'Self-Assessment'!Q$29:Q$313,1),"")</f>
        <v>1.75</v>
      </c>
      <c r="F7">
        <f>IFERROR(AVERAGEIFS('Self-Assessment'!D$29:D$313,'Self-Assessment'!M$29:M$313,1,'Self-Assessment'!R$29:R$313,1),"")</f>
        <v>1</v>
      </c>
      <c r="G7">
        <f>IFERROR(AVERAGEIFS('Self-Assessment'!D$29:D$313,'Self-Assessment'!M$29:M$313,1,'Self-Assessment'!S$29:S$313,1),"")</f>
        <v>1.9</v>
      </c>
      <c r="H7">
        <f>IFERROR(AVERAGEIFS('Self-Assessment'!D$29:D$313,'Self-Assessment'!M$29:M$313,1,'Self-Assessment'!T$29:T$313,1),"")</f>
        <v>0.8</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Self-Assessment</vt:lpstr>
      <vt:lpstr>Scoring</vt:lpstr>
      <vt:lpstr>Recommendations</vt:lpstr>
      <vt:lpstr>Definitions</vt:lpstr>
      <vt:lpstr>c40_cities</vt:lpstr>
      <vt:lpstr>org_detail</vt:lpstr>
      <vt:lpstr>QCount</vt:lpstr>
      <vt:lpstr>scoring_table</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2025-11-11T18:09:55Z</cp:lastPrinted>
  <dcterms:created xsi:type="dcterms:W3CDTF">2025-11-07T02:27:55Z</dcterms:created>
  <dcterms:modified xsi:type="dcterms:W3CDTF">2026-01-21T14:43:18Z</dcterms:modified>
</cp:coreProperties>
</file>